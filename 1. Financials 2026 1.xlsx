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CA Sri Lanka 2026\Divisional KPIs 2026\Power BI\"/>
    </mc:Choice>
  </mc:AlternateContent>
  <xr:revisionPtr revIDLastSave="0" documentId="13_ncr:1_{16C12C3A-4494-4E6A-B659-12D3A65F029A}" xr6:coauthVersionLast="47" xr6:coauthVersionMax="47" xr10:uidLastSave="{00000000-0000-0000-0000-000000000000}"/>
  <bookViews>
    <workbookView xWindow="-120" yWindow="-120" windowWidth="29040" windowHeight="16440" firstSheet="4" activeTab="10" xr2:uid="{77924CAC-B418-440D-9F38-351587AE2796}"/>
  </bookViews>
  <sheets>
    <sheet name="F26_Total Operations" sheetId="4" r:id="rId1"/>
    <sheet name="F26_Student Enrollment" sheetId="1" r:id="rId2"/>
    <sheet name="F26_Education" sheetId="2" r:id="rId3"/>
    <sheet name="F26_Training" sheetId="5" r:id="rId4"/>
    <sheet name="F26_Examinations" sheetId="6" r:id="rId5"/>
    <sheet name="F26_Member Relations" sheetId="7" r:id="rId6"/>
    <sheet name="F26_Technical" sheetId="8" r:id="rId7"/>
    <sheet name="F26_Business School" sheetId="9" r:id="rId8"/>
    <sheet name="F26_Tax School" sheetId="10" r:id="rId9"/>
    <sheet name="F26_Tax Faculty" sheetId="11" r:id="rId10"/>
    <sheet name="F26_SAB Campus" sheetId="12" r:id="rId11"/>
  </sheets>
  <externalReferences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9" i="12" l="1"/>
  <c r="AG9" i="12" s="1"/>
  <c r="AI9" i="12"/>
  <c r="AJ9" i="12" s="1"/>
  <c r="AF8" i="12"/>
  <c r="AG8" i="12" s="1"/>
  <c r="AI8" i="12"/>
  <c r="AJ8" i="12" s="1"/>
  <c r="Z9" i="12"/>
  <c r="AA9" i="12"/>
  <c r="AA8" i="12"/>
  <c r="Z8" i="12"/>
  <c r="AB8" i="12" s="1"/>
  <c r="AC8" i="12" s="1"/>
  <c r="U9" i="12"/>
  <c r="V9" i="12" s="1"/>
  <c r="X9" i="12"/>
  <c r="Y9" i="12" s="1"/>
  <c r="U8" i="12"/>
  <c r="V8" i="12" s="1"/>
  <c r="X8" i="12"/>
  <c r="Y8" i="12" s="1"/>
  <c r="O9" i="12"/>
  <c r="P9" i="12"/>
  <c r="P8" i="12"/>
  <c r="O8" i="12"/>
  <c r="Q8" i="12" s="1"/>
  <c r="R8" i="12" s="1"/>
  <c r="J9" i="12"/>
  <c r="K9" i="12" s="1"/>
  <c r="M9" i="12"/>
  <c r="N9" i="12" s="1"/>
  <c r="J8" i="12"/>
  <c r="K8" i="12" s="1"/>
  <c r="M8" i="12"/>
  <c r="N8" i="12" s="1"/>
  <c r="D9" i="12"/>
  <c r="E9" i="12"/>
  <c r="E8" i="12"/>
  <c r="F8" i="12" s="1"/>
  <c r="G8" i="12" s="1"/>
  <c r="D8" i="12"/>
  <c r="AF9" i="11"/>
  <c r="AG9" i="11" s="1"/>
  <c r="AI9" i="11"/>
  <c r="AJ9" i="11" s="1"/>
  <c r="AF8" i="11"/>
  <c r="AG8" i="11" s="1"/>
  <c r="AI8" i="11"/>
  <c r="AJ8" i="11" s="1"/>
  <c r="Z9" i="11"/>
  <c r="AA9" i="11"/>
  <c r="AB9" i="11" s="1"/>
  <c r="AC9" i="11" s="1"/>
  <c r="AA8" i="11"/>
  <c r="Z8" i="11"/>
  <c r="U9" i="11"/>
  <c r="V9" i="11" s="1"/>
  <c r="X9" i="11"/>
  <c r="Y9" i="11" s="1"/>
  <c r="U8" i="11"/>
  <c r="V8" i="11" s="1"/>
  <c r="X8" i="11"/>
  <c r="Y8" i="11" s="1"/>
  <c r="O9" i="11"/>
  <c r="P9" i="11"/>
  <c r="P8" i="11"/>
  <c r="O8" i="11"/>
  <c r="J9" i="11"/>
  <c r="K9" i="11"/>
  <c r="M9" i="11"/>
  <c r="N9" i="11"/>
  <c r="J8" i="11"/>
  <c r="K8" i="11" s="1"/>
  <c r="M8" i="11"/>
  <c r="N8" i="11" s="1"/>
  <c r="D9" i="11"/>
  <c r="E9" i="11"/>
  <c r="E8" i="11"/>
  <c r="F8" i="11" s="1"/>
  <c r="G8" i="11" s="1"/>
  <c r="D8" i="11"/>
  <c r="AF9" i="10"/>
  <c r="AG9" i="10" s="1"/>
  <c r="AI9" i="10"/>
  <c r="AJ9" i="10" s="1"/>
  <c r="AF8" i="10"/>
  <c r="AG8" i="10" s="1"/>
  <c r="AI8" i="10"/>
  <c r="AJ8" i="10" s="1"/>
  <c r="Z9" i="10"/>
  <c r="AA9" i="10"/>
  <c r="AB9" i="10" s="1"/>
  <c r="AC9" i="10" s="1"/>
  <c r="AA8" i="10"/>
  <c r="Z8" i="10"/>
  <c r="AB8" i="10" s="1"/>
  <c r="AC8" i="10" s="1"/>
  <c r="U9" i="10"/>
  <c r="V9" i="10" s="1"/>
  <c r="X9" i="10"/>
  <c r="Y9" i="10" s="1"/>
  <c r="U8" i="10"/>
  <c r="V8" i="10" s="1"/>
  <c r="X8" i="10"/>
  <c r="Y8" i="10" s="1"/>
  <c r="O9" i="10"/>
  <c r="P9" i="10"/>
  <c r="P8" i="10"/>
  <c r="O8" i="10"/>
  <c r="Q8" i="10" s="1"/>
  <c r="R8" i="10" s="1"/>
  <c r="J9" i="10"/>
  <c r="K9" i="10" s="1"/>
  <c r="M9" i="10"/>
  <c r="N9" i="10" s="1"/>
  <c r="J8" i="10"/>
  <c r="K8" i="10" s="1"/>
  <c r="M8" i="10"/>
  <c r="N8" i="10" s="1"/>
  <c r="D9" i="10"/>
  <c r="E9" i="10"/>
  <c r="E8" i="10"/>
  <c r="D8" i="10"/>
  <c r="AC9" i="9"/>
  <c r="AC8" i="9"/>
  <c r="AF9" i="9"/>
  <c r="AG9" i="9" s="1"/>
  <c r="AI9" i="9"/>
  <c r="AJ9" i="9" s="1"/>
  <c r="AF8" i="9"/>
  <c r="AG8" i="9" s="1"/>
  <c r="AI8" i="9"/>
  <c r="AJ8" i="9"/>
  <c r="Z9" i="9"/>
  <c r="AA9" i="9"/>
  <c r="AA8" i="9"/>
  <c r="AB8" i="9" s="1"/>
  <c r="Z8" i="9"/>
  <c r="U9" i="9"/>
  <c r="V9" i="9" s="1"/>
  <c r="X9" i="9"/>
  <c r="Y9" i="9" s="1"/>
  <c r="U8" i="9"/>
  <c r="V8" i="9" s="1"/>
  <c r="X8" i="9"/>
  <c r="Y8" i="9"/>
  <c r="O9" i="9"/>
  <c r="Q9" i="9" s="1"/>
  <c r="R9" i="9" s="1"/>
  <c r="P9" i="9"/>
  <c r="P8" i="9"/>
  <c r="Q8" i="9" s="1"/>
  <c r="R8" i="9" s="1"/>
  <c r="O8" i="9"/>
  <c r="J9" i="9"/>
  <c r="K9" i="9" s="1"/>
  <c r="M9" i="9"/>
  <c r="N9" i="9" s="1"/>
  <c r="J8" i="9"/>
  <c r="K8" i="9"/>
  <c r="M8" i="9"/>
  <c r="N8" i="9" s="1"/>
  <c r="D9" i="9"/>
  <c r="E9" i="9"/>
  <c r="E8" i="9"/>
  <c r="F8" i="9" s="1"/>
  <c r="G8" i="9" s="1"/>
  <c r="D8" i="9"/>
  <c r="AC8" i="8"/>
  <c r="AF9" i="8"/>
  <c r="AG9" i="8" s="1"/>
  <c r="AI9" i="8"/>
  <c r="AJ9" i="8" s="1"/>
  <c r="AF8" i="8"/>
  <c r="AG8" i="8" s="1"/>
  <c r="AI8" i="8"/>
  <c r="AJ8" i="8" s="1"/>
  <c r="Z9" i="8"/>
  <c r="AA9" i="8"/>
  <c r="AB9" i="8" s="1"/>
  <c r="AC9" i="8" s="1"/>
  <c r="AA8" i="8"/>
  <c r="Z8" i="8"/>
  <c r="U9" i="8"/>
  <c r="V9" i="8" s="1"/>
  <c r="X9" i="8"/>
  <c r="Y9" i="8" s="1"/>
  <c r="U8" i="8"/>
  <c r="V8" i="8" s="1"/>
  <c r="X8" i="8"/>
  <c r="Y8" i="8" s="1"/>
  <c r="O9" i="8"/>
  <c r="P9" i="8"/>
  <c r="P8" i="8"/>
  <c r="Q8" i="8" s="1"/>
  <c r="R8" i="8" s="1"/>
  <c r="O8" i="8"/>
  <c r="J9" i="8"/>
  <c r="K9" i="8" s="1"/>
  <c r="M9" i="8"/>
  <c r="N9" i="8" s="1"/>
  <c r="J8" i="8"/>
  <c r="K8" i="8" s="1"/>
  <c r="M8" i="8"/>
  <c r="N8" i="8" s="1"/>
  <c r="D9" i="8"/>
  <c r="E9" i="8"/>
  <c r="F9" i="8" s="1"/>
  <c r="G9" i="8" s="1"/>
  <c r="E8" i="8"/>
  <c r="D8" i="8"/>
  <c r="F8" i="8" s="1"/>
  <c r="G8" i="8" s="1"/>
  <c r="AF9" i="7"/>
  <c r="AG9" i="7" s="1"/>
  <c r="AI9" i="7"/>
  <c r="AJ9" i="7" s="1"/>
  <c r="AF8" i="7"/>
  <c r="AG8" i="7" s="1"/>
  <c r="AI8" i="7"/>
  <c r="AJ8" i="7" s="1"/>
  <c r="AA9" i="7"/>
  <c r="AA8" i="7"/>
  <c r="AB8" i="7" s="1"/>
  <c r="AC8" i="7" s="1"/>
  <c r="Z9" i="7"/>
  <c r="Z8" i="7"/>
  <c r="U9" i="7"/>
  <c r="V9" i="7" s="1"/>
  <c r="X9" i="7"/>
  <c r="Y9" i="7"/>
  <c r="U8" i="7"/>
  <c r="V8" i="7" s="1"/>
  <c r="X8" i="7"/>
  <c r="Y8" i="7" s="1"/>
  <c r="O9" i="7"/>
  <c r="P9" i="7"/>
  <c r="Q8" i="7"/>
  <c r="R8" i="7" s="1"/>
  <c r="P8" i="7"/>
  <c r="O8" i="7"/>
  <c r="J9" i="7"/>
  <c r="K9" i="7" s="1"/>
  <c r="M9" i="7"/>
  <c r="N9" i="7"/>
  <c r="J8" i="7"/>
  <c r="K8" i="7" s="1"/>
  <c r="M8" i="7"/>
  <c r="N8" i="7" s="1"/>
  <c r="D9" i="7"/>
  <c r="E9" i="7"/>
  <c r="E8" i="7"/>
  <c r="F8" i="7" s="1"/>
  <c r="G8" i="7" s="1"/>
  <c r="D8" i="7"/>
  <c r="AF9" i="6"/>
  <c r="AG9" i="6" s="1"/>
  <c r="AI9" i="6"/>
  <c r="AJ9" i="6" s="1"/>
  <c r="AF8" i="6"/>
  <c r="AG8" i="6" s="1"/>
  <c r="AI8" i="6"/>
  <c r="AJ8" i="6" s="1"/>
  <c r="Z9" i="6"/>
  <c r="AA9" i="6"/>
  <c r="AB9" i="6" s="1"/>
  <c r="AC9" i="6" s="1"/>
  <c r="AA8" i="6"/>
  <c r="AB8" i="6" s="1"/>
  <c r="AC8" i="6" s="1"/>
  <c r="Z8" i="6"/>
  <c r="U9" i="6"/>
  <c r="V9" i="6" s="1"/>
  <c r="X9" i="6"/>
  <c r="Y9" i="6"/>
  <c r="U8" i="6"/>
  <c r="V8" i="6" s="1"/>
  <c r="X8" i="6"/>
  <c r="Y8" i="6" s="1"/>
  <c r="O9" i="6"/>
  <c r="P9" i="6"/>
  <c r="P8" i="6"/>
  <c r="O8" i="6"/>
  <c r="J9" i="6"/>
  <c r="K9" i="6" s="1"/>
  <c r="M9" i="6"/>
  <c r="N9" i="6" s="1"/>
  <c r="J8" i="6"/>
  <c r="K8" i="6" s="1"/>
  <c r="M8" i="6"/>
  <c r="N8" i="6"/>
  <c r="D9" i="6"/>
  <c r="E9" i="6"/>
  <c r="E8" i="6"/>
  <c r="F8" i="6" s="1"/>
  <c r="G8" i="6" s="1"/>
  <c r="D8" i="6"/>
  <c r="AF9" i="5"/>
  <c r="AG9" i="5" s="1"/>
  <c r="AI9" i="5"/>
  <c r="AJ9" i="5" s="1"/>
  <c r="AF8" i="5"/>
  <c r="AG8" i="5" s="1"/>
  <c r="AI8" i="5"/>
  <c r="AJ8" i="5"/>
  <c r="AA9" i="5"/>
  <c r="AA8" i="5"/>
  <c r="Z9" i="5"/>
  <c r="AB9" i="5" s="1"/>
  <c r="AC9" i="5" s="1"/>
  <c r="Z8" i="5"/>
  <c r="AB8" i="5" s="1"/>
  <c r="AC8" i="5" s="1"/>
  <c r="U9" i="5"/>
  <c r="V9" i="5" s="1"/>
  <c r="X9" i="5"/>
  <c r="Y9" i="5"/>
  <c r="U8" i="5"/>
  <c r="V8" i="5" s="1"/>
  <c r="X8" i="5"/>
  <c r="Y8" i="5" s="1"/>
  <c r="P9" i="5"/>
  <c r="P8" i="5"/>
  <c r="O9" i="5"/>
  <c r="O8" i="5"/>
  <c r="Q8" i="5" s="1"/>
  <c r="R8" i="5" s="1"/>
  <c r="J9" i="5"/>
  <c r="K9" i="5" s="1"/>
  <c r="M9" i="5"/>
  <c r="N9" i="5" s="1"/>
  <c r="J8" i="5"/>
  <c r="K8" i="5" s="1"/>
  <c r="M8" i="5"/>
  <c r="N8" i="5" s="1"/>
  <c r="E9" i="5"/>
  <c r="F9" i="5" s="1"/>
  <c r="G9" i="5" s="1"/>
  <c r="E8" i="5"/>
  <c r="F8" i="5" s="1"/>
  <c r="G8" i="5" s="1"/>
  <c r="D9" i="5"/>
  <c r="D8" i="5"/>
  <c r="AF9" i="2"/>
  <c r="AG9" i="2" s="1"/>
  <c r="AI9" i="2"/>
  <c r="AJ9" i="2" s="1"/>
  <c r="AF8" i="2"/>
  <c r="AG8" i="2" s="1"/>
  <c r="AI8" i="2"/>
  <c r="AJ8" i="2" s="1"/>
  <c r="AA9" i="2"/>
  <c r="AA8" i="2"/>
  <c r="Z9" i="2"/>
  <c r="AB9" i="2" s="1"/>
  <c r="AC9" i="2" s="1"/>
  <c r="Z8" i="2"/>
  <c r="U9" i="2"/>
  <c r="V9" i="2" s="1"/>
  <c r="X9" i="2"/>
  <c r="Y9" i="2" s="1"/>
  <c r="U8" i="2"/>
  <c r="V8" i="2" s="1"/>
  <c r="X8" i="2"/>
  <c r="Y8" i="2" s="1"/>
  <c r="P9" i="2"/>
  <c r="P8" i="2"/>
  <c r="O9" i="2"/>
  <c r="O8" i="2"/>
  <c r="Q8" i="2" s="1"/>
  <c r="R8" i="2" s="1"/>
  <c r="J9" i="2"/>
  <c r="K9" i="2" s="1"/>
  <c r="M9" i="2"/>
  <c r="N9" i="2" s="1"/>
  <c r="J8" i="2"/>
  <c r="K8" i="2" s="1"/>
  <c r="M8" i="2"/>
  <c r="N8" i="2" s="1"/>
  <c r="D9" i="2"/>
  <c r="E9" i="2"/>
  <c r="F9" i="2" s="1"/>
  <c r="G9" i="2" s="1"/>
  <c r="E8" i="2"/>
  <c r="D8" i="2"/>
  <c r="F8" i="2" s="1"/>
  <c r="G8" i="2" s="1"/>
  <c r="AF9" i="1"/>
  <c r="AG9" i="1" s="1"/>
  <c r="AI9" i="1"/>
  <c r="AJ9" i="1" s="1"/>
  <c r="Z9" i="1"/>
  <c r="AA9" i="1"/>
  <c r="AB9" i="1" s="1"/>
  <c r="AC9" i="1" s="1"/>
  <c r="U9" i="1"/>
  <c r="V9" i="1"/>
  <c r="X9" i="1"/>
  <c r="Y9" i="1" s="1"/>
  <c r="O9" i="1"/>
  <c r="P9" i="1"/>
  <c r="J9" i="1"/>
  <c r="K9" i="1"/>
  <c r="M9" i="1"/>
  <c r="N9" i="1"/>
  <c r="D9" i="1"/>
  <c r="E9" i="1"/>
  <c r="AF8" i="1"/>
  <c r="AG8" i="1" s="1"/>
  <c r="AI8" i="1"/>
  <c r="AJ8" i="1" s="1"/>
  <c r="AA8" i="1"/>
  <c r="AB8" i="1" s="1"/>
  <c r="AC8" i="1" s="1"/>
  <c r="Z8" i="1"/>
  <c r="U8" i="1"/>
  <c r="V8" i="1" s="1"/>
  <c r="X8" i="1"/>
  <c r="Y8" i="1"/>
  <c r="P8" i="1"/>
  <c r="O8" i="1"/>
  <c r="J8" i="1"/>
  <c r="K8" i="1"/>
  <c r="M8" i="1"/>
  <c r="N8" i="1" s="1"/>
  <c r="E8" i="1"/>
  <c r="D8" i="1"/>
  <c r="BB9" i="4"/>
  <c r="BC9" i="4" s="1"/>
  <c r="BE9" i="4"/>
  <c r="BF9" i="4"/>
  <c r="AX9" i="4"/>
  <c r="AY9" i="4"/>
  <c r="AQ9" i="4"/>
  <c r="AR9" i="4" s="1"/>
  <c r="AT9" i="4"/>
  <c r="AU9" i="4"/>
  <c r="AM9" i="4"/>
  <c r="AN9" i="4" s="1"/>
  <c r="AF9" i="4"/>
  <c r="AG9" i="4"/>
  <c r="AI9" i="4"/>
  <c r="AJ9" i="4" s="1"/>
  <c r="AB9" i="4"/>
  <c r="AC9" i="4" s="1"/>
  <c r="X9" i="4"/>
  <c r="Y9" i="4" s="1"/>
  <c r="U9" i="4"/>
  <c r="V9" i="4" s="1"/>
  <c r="Q9" i="4"/>
  <c r="R9" i="4" s="1"/>
  <c r="J9" i="4"/>
  <c r="K9" i="4" s="1"/>
  <c r="M9" i="4"/>
  <c r="N9" i="4"/>
  <c r="F9" i="4"/>
  <c r="G9" i="4" s="1"/>
  <c r="AB9" i="12" l="1"/>
  <c r="AC9" i="12" s="1"/>
  <c r="Q9" i="12"/>
  <c r="R9" i="12" s="1"/>
  <c r="F9" i="12"/>
  <c r="G9" i="12" s="1"/>
  <c r="F9" i="11"/>
  <c r="G9" i="11" s="1"/>
  <c r="AB8" i="11"/>
  <c r="AC8" i="11" s="1"/>
  <c r="Q8" i="11"/>
  <c r="R8" i="11" s="1"/>
  <c r="Q9" i="11"/>
  <c r="R9" i="11" s="1"/>
  <c r="F9" i="10"/>
  <c r="G9" i="10" s="1"/>
  <c r="Q9" i="10"/>
  <c r="R9" i="10" s="1"/>
  <c r="F8" i="10"/>
  <c r="G8" i="10" s="1"/>
  <c r="AB9" i="9"/>
  <c r="F9" i="9"/>
  <c r="G9" i="9" s="1"/>
  <c r="AB8" i="8"/>
  <c r="Q9" i="8"/>
  <c r="R9" i="8" s="1"/>
  <c r="AB9" i="7"/>
  <c r="AC9" i="7" s="1"/>
  <c r="Q9" i="7"/>
  <c r="R9" i="7" s="1"/>
  <c r="F9" i="7"/>
  <c r="G9" i="7" s="1"/>
  <c r="Q9" i="6"/>
  <c r="R9" i="6" s="1"/>
  <c r="F9" i="6"/>
  <c r="G9" i="6" s="1"/>
  <c r="Q8" i="6"/>
  <c r="R8" i="6" s="1"/>
  <c r="Q9" i="5"/>
  <c r="R9" i="5" s="1"/>
  <c r="Q9" i="2"/>
  <c r="R9" i="2" s="1"/>
  <c r="AB8" i="2"/>
  <c r="AC8" i="2" s="1"/>
  <c r="Q8" i="1"/>
  <c r="R8" i="1" s="1"/>
  <c r="F8" i="1"/>
  <c r="G8" i="1" s="1"/>
  <c r="Q9" i="1"/>
  <c r="R9" i="1" s="1"/>
  <c r="F9" i="1"/>
  <c r="G9" i="1" s="1"/>
  <c r="BE8" i="4" l="1"/>
  <c r="BF8" i="4"/>
  <c r="BB8" i="4"/>
  <c r="BC8" i="4" s="1"/>
  <c r="AX8" i="4"/>
  <c r="AY8" i="4" s="1"/>
  <c r="AQ8" i="4"/>
  <c r="AR8" i="4" s="1"/>
  <c r="AT8" i="4"/>
  <c r="AU8" i="4" s="1"/>
  <c r="AM8" i="4"/>
  <c r="AN8" i="4" s="1"/>
  <c r="AF8" i="4"/>
  <c r="AG8" i="4" s="1"/>
  <c r="AI8" i="4"/>
  <c r="AJ8" i="4"/>
  <c r="AB8" i="4"/>
  <c r="AC8" i="4" s="1"/>
  <c r="U8" i="4"/>
  <c r="V8" i="4" s="1"/>
  <c r="X8" i="4"/>
  <c r="Y8" i="4"/>
  <c r="Q8" i="4"/>
  <c r="R8" i="4" s="1"/>
  <c r="M8" i="4"/>
  <c r="N8" i="4" s="1"/>
  <c r="J8" i="4"/>
  <c r="K8" i="4" s="1"/>
  <c r="F8" i="4"/>
  <c r="G8" i="4" s="1"/>
  <c r="AF7" i="12" l="1"/>
  <c r="AG7" i="12" s="1"/>
  <c r="AI7" i="12"/>
  <c r="AJ7" i="12" s="1"/>
  <c r="AB7" i="12"/>
  <c r="AC7" i="12"/>
  <c r="U7" i="12"/>
  <c r="V7" i="12" s="1"/>
  <c r="X7" i="12"/>
  <c r="Y7" i="12" s="1"/>
  <c r="Q7" i="12"/>
  <c r="R7" i="12" s="1"/>
  <c r="M7" i="12"/>
  <c r="N7" i="12" s="1"/>
  <c r="J7" i="12"/>
  <c r="K7" i="12" s="1"/>
  <c r="F7" i="12"/>
  <c r="G7" i="12"/>
  <c r="AI7" i="11"/>
  <c r="AJ7" i="11"/>
  <c r="AG7" i="11"/>
  <c r="AF7" i="11"/>
  <c r="AC7" i="11"/>
  <c r="AB7" i="11"/>
  <c r="U7" i="11"/>
  <c r="V7" i="11"/>
  <c r="X7" i="11"/>
  <c r="Y7" i="11"/>
  <c r="Q7" i="11"/>
  <c r="R7" i="11"/>
  <c r="J7" i="11"/>
  <c r="K7" i="11" s="1"/>
  <c r="M7" i="11"/>
  <c r="N7" i="11"/>
  <c r="F7" i="11"/>
  <c r="G7" i="11"/>
  <c r="AF7" i="10"/>
  <c r="AG7" i="10" s="1"/>
  <c r="AI7" i="10"/>
  <c r="AJ7" i="10" s="1"/>
  <c r="AB7" i="10"/>
  <c r="AC7" i="10" s="1"/>
  <c r="U7" i="10"/>
  <c r="V7" i="10" s="1"/>
  <c r="X7" i="10"/>
  <c r="Y7" i="10" s="1"/>
  <c r="Q7" i="10"/>
  <c r="R7" i="10" s="1"/>
  <c r="J7" i="10"/>
  <c r="K7" i="10" s="1"/>
  <c r="M7" i="10"/>
  <c r="N7" i="10" s="1"/>
  <c r="F7" i="10"/>
  <c r="G7" i="10" s="1"/>
  <c r="AF7" i="9"/>
  <c r="AG7" i="9"/>
  <c r="AI7" i="9"/>
  <c r="AJ7" i="9"/>
  <c r="AC7" i="9"/>
  <c r="AB7" i="9"/>
  <c r="U7" i="9"/>
  <c r="V7" i="9" s="1"/>
  <c r="X7" i="9"/>
  <c r="Y7" i="9"/>
  <c r="Q7" i="9"/>
  <c r="R7" i="9" s="1"/>
  <c r="J7" i="9"/>
  <c r="K7" i="9"/>
  <c r="M7" i="9"/>
  <c r="N7" i="9"/>
  <c r="F7" i="9"/>
  <c r="G7" i="9" s="1"/>
  <c r="AF7" i="8"/>
  <c r="AG7" i="8"/>
  <c r="AI7" i="8"/>
  <c r="AJ7" i="8"/>
  <c r="AB7" i="8"/>
  <c r="AC7" i="8" s="1"/>
  <c r="U7" i="8"/>
  <c r="V7" i="8" s="1"/>
  <c r="X7" i="8"/>
  <c r="Y7" i="8"/>
  <c r="Q7" i="8"/>
  <c r="R7" i="8" s="1"/>
  <c r="J7" i="8"/>
  <c r="K7" i="8"/>
  <c r="M7" i="8"/>
  <c r="N7" i="8"/>
  <c r="F7" i="8"/>
  <c r="G7" i="8"/>
  <c r="AF7" i="7"/>
  <c r="AG7" i="7" s="1"/>
  <c r="AI7" i="7"/>
  <c r="AJ7" i="7"/>
  <c r="AB7" i="7"/>
  <c r="AC7" i="7" s="1"/>
  <c r="U7" i="7"/>
  <c r="V7" i="7"/>
  <c r="X7" i="7"/>
  <c r="Y7" i="7" s="1"/>
  <c r="Q7" i="7"/>
  <c r="R7" i="7"/>
  <c r="J7" i="7"/>
  <c r="K7" i="7" s="1"/>
  <c r="M7" i="7"/>
  <c r="N7" i="7"/>
  <c r="F7" i="7"/>
  <c r="G7" i="7" s="1"/>
  <c r="AF7" i="6"/>
  <c r="AG7" i="6" s="1"/>
  <c r="AI7" i="6"/>
  <c r="AJ7" i="6"/>
  <c r="AB7" i="6"/>
  <c r="AC7" i="6"/>
  <c r="U7" i="6"/>
  <c r="V7" i="6" s="1"/>
  <c r="X7" i="6"/>
  <c r="Y7" i="6"/>
  <c r="Q7" i="6"/>
  <c r="R7" i="6" s="1"/>
  <c r="J7" i="6"/>
  <c r="K7" i="6" s="1"/>
  <c r="M7" i="6"/>
  <c r="N7" i="6"/>
  <c r="F7" i="6"/>
  <c r="G7" i="6"/>
  <c r="AF7" i="5"/>
  <c r="AG7" i="5" s="1"/>
  <c r="AI7" i="5"/>
  <c r="AJ7" i="5"/>
  <c r="AB7" i="5"/>
  <c r="AC7" i="5"/>
  <c r="U7" i="5"/>
  <c r="V7" i="5"/>
  <c r="X7" i="5"/>
  <c r="Y7" i="5"/>
  <c r="Q7" i="5"/>
  <c r="R7" i="5"/>
  <c r="J7" i="5"/>
  <c r="K7" i="5"/>
  <c r="M7" i="5"/>
  <c r="N7" i="5"/>
  <c r="F7" i="5"/>
  <c r="G7" i="5"/>
  <c r="U7" i="2"/>
  <c r="V7" i="2" s="1"/>
  <c r="X7" i="2"/>
  <c r="Y7" i="2" s="1"/>
  <c r="Q7" i="2"/>
  <c r="R7" i="2" s="1"/>
  <c r="J7" i="2"/>
  <c r="K7" i="2" s="1"/>
  <c r="M7" i="2"/>
  <c r="N7" i="2" s="1"/>
  <c r="F7" i="2"/>
  <c r="G7" i="2" s="1"/>
  <c r="AF7" i="2"/>
  <c r="AG7" i="2" s="1"/>
  <c r="AI7" i="2"/>
  <c r="AJ7" i="2" s="1"/>
  <c r="AB7" i="2"/>
  <c r="AC7" i="2" s="1"/>
  <c r="AF7" i="1"/>
  <c r="AG7" i="1"/>
  <c r="AI7" i="1"/>
  <c r="AJ7" i="1" s="1"/>
  <c r="AB7" i="1"/>
  <c r="AC7" i="1" s="1"/>
  <c r="X7" i="1"/>
  <c r="Y7" i="1" s="1"/>
  <c r="U7" i="1"/>
  <c r="V7" i="1"/>
  <c r="Q7" i="1"/>
  <c r="R7" i="1" s="1"/>
  <c r="J7" i="1"/>
  <c r="K7" i="1"/>
  <c r="M7" i="1"/>
  <c r="N7" i="1"/>
  <c r="F7" i="1"/>
  <c r="G7" i="1" s="1"/>
  <c r="BB7" i="4" l="1"/>
  <c r="BC7" i="4" s="1"/>
  <c r="BE7" i="4"/>
  <c r="BF7" i="4" s="1"/>
  <c r="AX7" i="4"/>
  <c r="AY7" i="4" s="1"/>
  <c r="AT7" i="4"/>
  <c r="AU7" i="4" s="1"/>
  <c r="AQ7" i="4"/>
  <c r="AR7" i="4" s="1"/>
  <c r="AM7" i="4"/>
  <c r="AN7" i="4" s="1"/>
  <c r="AI7" i="4"/>
  <c r="AJ7" i="4" s="1"/>
  <c r="AF7" i="4"/>
  <c r="AG7" i="4" s="1"/>
  <c r="AB7" i="4"/>
  <c r="AC7" i="4" s="1"/>
  <c r="X7" i="4"/>
  <c r="Y7" i="4" s="1"/>
  <c r="U7" i="4"/>
  <c r="V7" i="4" s="1"/>
  <c r="Q7" i="4"/>
  <c r="R7" i="4" s="1"/>
  <c r="M7" i="4"/>
  <c r="N7" i="4"/>
  <c r="J7" i="4"/>
  <c r="K7" i="4"/>
  <c r="F7" i="4"/>
  <c r="G7" i="4" s="1"/>
  <c r="AC5" i="11" l="1"/>
  <c r="AC3" i="9"/>
  <c r="AC5" i="6"/>
  <c r="AI5" i="12"/>
  <c r="AJ5" i="12" s="1"/>
  <c r="AI6" i="12"/>
  <c r="AJ6" i="12"/>
  <c r="AF5" i="12"/>
  <c r="AG5" i="12"/>
  <c r="AF6" i="12"/>
  <c r="AG6" i="12"/>
  <c r="AB5" i="12"/>
  <c r="AC5" i="12"/>
  <c r="AB6" i="12"/>
  <c r="AC6" i="12"/>
  <c r="X5" i="12"/>
  <c r="Y5" i="12"/>
  <c r="X6" i="12"/>
  <c r="Y6" i="12" s="1"/>
  <c r="U5" i="12"/>
  <c r="V5" i="12"/>
  <c r="U6" i="12"/>
  <c r="V6" i="12" s="1"/>
  <c r="Q5" i="12"/>
  <c r="R5" i="12"/>
  <c r="Q6" i="12"/>
  <c r="R6" i="12"/>
  <c r="M5" i="12"/>
  <c r="N5" i="12"/>
  <c r="M6" i="12"/>
  <c r="N6" i="12"/>
  <c r="J5" i="12"/>
  <c r="K5" i="12" s="1"/>
  <c r="J6" i="12"/>
  <c r="K6" i="12" s="1"/>
  <c r="F5" i="12"/>
  <c r="G5" i="12" s="1"/>
  <c r="F6" i="12"/>
  <c r="G6" i="12"/>
  <c r="AI5" i="11"/>
  <c r="AJ5" i="11" s="1"/>
  <c r="AI6" i="11"/>
  <c r="AJ6" i="11" s="1"/>
  <c r="AF5" i="11"/>
  <c r="AG5" i="11" s="1"/>
  <c r="AF6" i="11"/>
  <c r="AG6" i="11" s="1"/>
  <c r="AB5" i="11"/>
  <c r="AB6" i="11"/>
  <c r="X5" i="11"/>
  <c r="Y5" i="11" s="1"/>
  <c r="X6" i="11"/>
  <c r="Y6" i="11"/>
  <c r="U5" i="11"/>
  <c r="V5" i="11" s="1"/>
  <c r="U6" i="11"/>
  <c r="V6" i="11" s="1"/>
  <c r="Q5" i="11"/>
  <c r="R5" i="11"/>
  <c r="Q6" i="11"/>
  <c r="R6" i="11"/>
  <c r="M5" i="11"/>
  <c r="N5" i="11"/>
  <c r="M6" i="11"/>
  <c r="N6" i="11"/>
  <c r="J5" i="11"/>
  <c r="K5" i="11" s="1"/>
  <c r="J6" i="11"/>
  <c r="K6" i="11"/>
  <c r="F5" i="11"/>
  <c r="G5" i="11"/>
  <c r="F6" i="11"/>
  <c r="G6" i="11"/>
  <c r="AI5" i="10"/>
  <c r="AJ5" i="10" s="1"/>
  <c r="AI6" i="10"/>
  <c r="AJ6" i="10"/>
  <c r="AF5" i="10"/>
  <c r="AG5" i="10"/>
  <c r="AF6" i="10"/>
  <c r="AG6" i="10"/>
  <c r="AB4" i="10"/>
  <c r="AC4" i="10"/>
  <c r="AB5" i="10"/>
  <c r="AC5" i="10" s="1"/>
  <c r="AB6" i="10"/>
  <c r="AC6" i="10"/>
  <c r="X5" i="10"/>
  <c r="Y5" i="10"/>
  <c r="X6" i="10"/>
  <c r="Y6" i="10"/>
  <c r="U5" i="10"/>
  <c r="V5" i="10" s="1"/>
  <c r="U6" i="10"/>
  <c r="V6" i="10" s="1"/>
  <c r="Q5" i="10"/>
  <c r="R5" i="10"/>
  <c r="Q6" i="10"/>
  <c r="R6" i="10"/>
  <c r="M5" i="10"/>
  <c r="N5" i="10"/>
  <c r="M6" i="10"/>
  <c r="N6" i="10"/>
  <c r="J5" i="10"/>
  <c r="K5" i="10" s="1"/>
  <c r="J6" i="10"/>
  <c r="K6" i="10"/>
  <c r="F5" i="10"/>
  <c r="G5" i="10"/>
  <c r="F6" i="10"/>
  <c r="G6" i="10"/>
  <c r="AI5" i="9"/>
  <c r="AJ5" i="9" s="1"/>
  <c r="AI6" i="9"/>
  <c r="AJ6" i="9" s="1"/>
  <c r="AG4" i="9"/>
  <c r="AF5" i="9"/>
  <c r="AG5" i="9"/>
  <c r="AF6" i="9"/>
  <c r="AG6" i="9"/>
  <c r="AF4" i="9"/>
  <c r="AC6" i="9"/>
  <c r="AB5" i="9"/>
  <c r="AC5" i="9" s="1"/>
  <c r="AB6" i="9"/>
  <c r="X5" i="9"/>
  <c r="Y5" i="9"/>
  <c r="X6" i="9"/>
  <c r="Y6" i="9" s="1"/>
  <c r="U5" i="9"/>
  <c r="V5" i="9" s="1"/>
  <c r="U6" i="9"/>
  <c r="V6" i="9"/>
  <c r="Q5" i="9"/>
  <c r="R5" i="9" s="1"/>
  <c r="Q6" i="9"/>
  <c r="R6" i="9" s="1"/>
  <c r="M5" i="9"/>
  <c r="N5" i="9" s="1"/>
  <c r="M6" i="9"/>
  <c r="N6" i="9" s="1"/>
  <c r="J5" i="9"/>
  <c r="K5" i="9"/>
  <c r="J6" i="9"/>
  <c r="K6" i="9" s="1"/>
  <c r="F5" i="9"/>
  <c r="G5" i="9" s="1"/>
  <c r="F6" i="9"/>
  <c r="G6" i="9" s="1"/>
  <c r="AI5" i="8"/>
  <c r="AJ5" i="8"/>
  <c r="AI6" i="8"/>
  <c r="AJ6" i="8"/>
  <c r="AF5" i="8"/>
  <c r="AG5" i="8" s="1"/>
  <c r="AF6" i="8"/>
  <c r="AG6" i="8"/>
  <c r="AB5" i="8"/>
  <c r="AC5" i="8"/>
  <c r="AB6" i="8"/>
  <c r="AC6" i="8" s="1"/>
  <c r="X5" i="8"/>
  <c r="Y5" i="8"/>
  <c r="X6" i="8"/>
  <c r="Y6" i="8"/>
  <c r="U5" i="8" l="1"/>
  <c r="V5" i="8" s="1"/>
  <c r="U6" i="8"/>
  <c r="V6" i="8" s="1"/>
  <c r="Q5" i="8"/>
  <c r="R5" i="8"/>
  <c r="Q6" i="8"/>
  <c r="R6" i="8"/>
  <c r="M5" i="8"/>
  <c r="N5" i="8" s="1"/>
  <c r="M6" i="8"/>
  <c r="N6" i="8" s="1"/>
  <c r="J5" i="8"/>
  <c r="K5" i="8"/>
  <c r="J6" i="8"/>
  <c r="K6" i="8"/>
  <c r="F5" i="8"/>
  <c r="G5" i="8"/>
  <c r="F6" i="8"/>
  <c r="G6" i="8"/>
  <c r="AI3" i="7"/>
  <c r="AJ3" i="7"/>
  <c r="AI4" i="7"/>
  <c r="AJ4" i="7"/>
  <c r="AI5" i="7"/>
  <c r="AJ5" i="7"/>
  <c r="AI6" i="7"/>
  <c r="AJ6" i="7"/>
  <c r="AF5" i="7"/>
  <c r="AG5" i="7"/>
  <c r="AF6" i="7"/>
  <c r="AG6" i="7" s="1"/>
  <c r="AB5" i="7"/>
  <c r="AC5" i="7"/>
  <c r="AB6" i="7"/>
  <c r="AC6" i="7"/>
  <c r="U5" i="7"/>
  <c r="V5" i="7" s="1"/>
  <c r="U6" i="7"/>
  <c r="V6" i="7"/>
  <c r="X5" i="7"/>
  <c r="Y5" i="7" s="1"/>
  <c r="X6" i="7"/>
  <c r="Y6" i="7"/>
  <c r="Q4" i="7"/>
  <c r="R4" i="7"/>
  <c r="Q5" i="7"/>
  <c r="R5" i="7"/>
  <c r="Q6" i="7"/>
  <c r="R6" i="7"/>
  <c r="M5" i="7"/>
  <c r="N5" i="7"/>
  <c r="M6" i="7"/>
  <c r="N6" i="7" s="1"/>
  <c r="J5" i="7"/>
  <c r="K5" i="7"/>
  <c r="J6" i="7"/>
  <c r="K6" i="7"/>
  <c r="F5" i="7"/>
  <c r="G5" i="7"/>
  <c r="F6" i="7"/>
  <c r="G6" i="7" s="1"/>
  <c r="AI5" i="6"/>
  <c r="AJ5" i="6" s="1"/>
  <c r="AI6" i="6"/>
  <c r="AJ6" i="6"/>
  <c r="AF5" i="6"/>
  <c r="AG5" i="6"/>
  <c r="AF6" i="6"/>
  <c r="AG6" i="6" s="1"/>
  <c r="AB5" i="6"/>
  <c r="AB6" i="6"/>
  <c r="AC6" i="6"/>
  <c r="X5" i="6"/>
  <c r="Y5" i="6" s="1"/>
  <c r="X6" i="6"/>
  <c r="Y6" i="6"/>
  <c r="U5" i="6"/>
  <c r="V5" i="6"/>
  <c r="U6" i="6"/>
  <c r="V6" i="6"/>
  <c r="Q5" i="6"/>
  <c r="R5" i="6" s="1"/>
  <c r="Q6" i="6"/>
  <c r="R6" i="6"/>
  <c r="M5" i="6"/>
  <c r="N5" i="6" s="1"/>
  <c r="M6" i="6"/>
  <c r="N6" i="6"/>
  <c r="J5" i="6"/>
  <c r="K5" i="6"/>
  <c r="J6" i="6"/>
  <c r="K6" i="6" s="1"/>
  <c r="F5" i="6"/>
  <c r="G5" i="6"/>
  <c r="F6" i="6"/>
  <c r="G6" i="6"/>
  <c r="AI5" i="5"/>
  <c r="AJ5" i="5" s="1"/>
  <c r="AI6" i="5"/>
  <c r="AJ6" i="5"/>
  <c r="AF5" i="5"/>
  <c r="AG5" i="5" s="1"/>
  <c r="AF6" i="5"/>
  <c r="AG6" i="5" s="1"/>
  <c r="AB5" i="5"/>
  <c r="AC5" i="5" s="1"/>
  <c r="AB6" i="5"/>
  <c r="AC6" i="5" s="1"/>
  <c r="U5" i="5"/>
  <c r="V5" i="5" s="1"/>
  <c r="U6" i="5"/>
  <c r="V6" i="5" s="1"/>
  <c r="Q5" i="5"/>
  <c r="R5" i="5" s="1"/>
  <c r="Q6" i="5"/>
  <c r="R6" i="5"/>
  <c r="X5" i="5"/>
  <c r="Y5" i="5"/>
  <c r="X6" i="5"/>
  <c r="Y6" i="5" s="1"/>
  <c r="M5" i="5"/>
  <c r="N5" i="5" s="1"/>
  <c r="M6" i="5"/>
  <c r="N6" i="5" s="1"/>
  <c r="J5" i="5"/>
  <c r="K5" i="5"/>
  <c r="J6" i="5"/>
  <c r="K6" i="5" s="1"/>
  <c r="F5" i="5"/>
  <c r="G5" i="5"/>
  <c r="F6" i="5"/>
  <c r="G6" i="5"/>
  <c r="AI6" i="2"/>
  <c r="AJ6" i="2"/>
  <c r="AI5" i="2"/>
  <c r="AJ5" i="2" s="1"/>
  <c r="AF6" i="2"/>
  <c r="AG6" i="2" s="1"/>
  <c r="AF5" i="2"/>
  <c r="AG5" i="2" s="1"/>
  <c r="AB6" i="2"/>
  <c r="AC6" i="2" s="1"/>
  <c r="AB5" i="2"/>
  <c r="AC5" i="2" s="1"/>
  <c r="X6" i="2"/>
  <c r="Y6" i="2" s="1"/>
  <c r="X5" i="2"/>
  <c r="Y5" i="2"/>
  <c r="U6" i="2"/>
  <c r="V6" i="2" s="1"/>
  <c r="U5" i="2"/>
  <c r="V5" i="2" s="1"/>
  <c r="Q6" i="2"/>
  <c r="R6" i="2" s="1"/>
  <c r="Q5" i="2"/>
  <c r="R5" i="2" s="1"/>
  <c r="M6" i="2"/>
  <c r="N6" i="2"/>
  <c r="M5" i="2"/>
  <c r="N5" i="2" s="1"/>
  <c r="J6" i="2"/>
  <c r="K6" i="2" s="1"/>
  <c r="J5" i="2"/>
  <c r="K5" i="2"/>
  <c r="F6" i="2"/>
  <c r="G6" i="2" s="1"/>
  <c r="F5" i="2"/>
  <c r="G5" i="2"/>
  <c r="AI6" i="1"/>
  <c r="AJ6" i="1" s="1"/>
  <c r="AI5" i="1"/>
  <c r="AJ5" i="1"/>
  <c r="AF6" i="1"/>
  <c r="AG6" i="1" s="1"/>
  <c r="AF5" i="1"/>
  <c r="AG5" i="1" s="1"/>
  <c r="AB6" i="1"/>
  <c r="AC6" i="1" s="1"/>
  <c r="AB5" i="1"/>
  <c r="AC5" i="1" s="1"/>
  <c r="X6" i="1"/>
  <c r="Y6" i="1" s="1"/>
  <c r="X5" i="1"/>
  <c r="Y5" i="1" s="1"/>
  <c r="U6" i="1"/>
  <c r="V6" i="1"/>
  <c r="U5" i="1"/>
  <c r="V5" i="1" s="1"/>
  <c r="Q6" i="1"/>
  <c r="R6" i="1" s="1"/>
  <c r="Q5" i="1"/>
  <c r="R5" i="1"/>
  <c r="M6" i="1"/>
  <c r="N6" i="1" s="1"/>
  <c r="M5" i="1"/>
  <c r="N5" i="1"/>
  <c r="J6" i="1" l="1"/>
  <c r="K6" i="1"/>
  <c r="J5" i="1"/>
  <c r="K5" i="1"/>
  <c r="F6" i="1"/>
  <c r="G6" i="1"/>
  <c r="F5" i="1"/>
  <c r="G5" i="1"/>
  <c r="BE6" i="4" l="1"/>
  <c r="BF6" i="4" s="1"/>
  <c r="BE5" i="4"/>
  <c r="BF5" i="4" s="1"/>
  <c r="BB6" i="4"/>
  <c r="BC6" i="4"/>
  <c r="BB5" i="4"/>
  <c r="BC5" i="4"/>
  <c r="AX6" i="4"/>
  <c r="AY6" i="4"/>
  <c r="AX5" i="4"/>
  <c r="AY5" i="4" s="1"/>
  <c r="AT6" i="4"/>
  <c r="AU6" i="4" s="1"/>
  <c r="AT5" i="4"/>
  <c r="AU5" i="4" s="1"/>
  <c r="AQ6" i="4"/>
  <c r="AR6" i="4" s="1"/>
  <c r="AQ5" i="4"/>
  <c r="AR5" i="4"/>
  <c r="AM6" i="4"/>
  <c r="AN6" i="4" s="1"/>
  <c r="AM5" i="4"/>
  <c r="AN5" i="4" s="1"/>
  <c r="AI6" i="4"/>
  <c r="AJ6" i="4" s="1"/>
  <c r="AI5" i="4"/>
  <c r="AJ5" i="4" s="1"/>
  <c r="AF6" i="4"/>
  <c r="AG6" i="4" s="1"/>
  <c r="AF5" i="4"/>
  <c r="AG5" i="4" s="1"/>
  <c r="AB6" i="4"/>
  <c r="AC6" i="4" s="1"/>
  <c r="AB5" i="4"/>
  <c r="AC5" i="4" s="1"/>
  <c r="U6" i="4"/>
  <c r="V6" i="4"/>
  <c r="X6" i="4"/>
  <c r="Y6" i="4" s="1"/>
  <c r="U5" i="4"/>
  <c r="V5" i="4"/>
  <c r="X5" i="4"/>
  <c r="Y5" i="4" s="1"/>
  <c r="Q6" i="4"/>
  <c r="R6" i="4"/>
  <c r="Q5" i="4"/>
  <c r="R5" i="4"/>
  <c r="M6" i="4"/>
  <c r="N6" i="4" s="1"/>
  <c r="M5" i="4"/>
  <c r="N5" i="4" s="1"/>
  <c r="J6" i="4"/>
  <c r="K6" i="4"/>
  <c r="J5" i="4"/>
  <c r="K5" i="4" s="1"/>
  <c r="F6" i="4"/>
  <c r="G6" i="4" s="1"/>
  <c r="F5" i="4"/>
  <c r="G5" i="4" s="1"/>
  <c r="AI4" i="12" l="1"/>
  <c r="AJ4" i="12" s="1"/>
  <c r="AF4" i="12"/>
  <c r="AG4" i="12" s="1"/>
  <c r="AB4" i="12"/>
  <c r="AC4" i="12" s="1"/>
  <c r="X4" i="12"/>
  <c r="Y4" i="12" s="1"/>
  <c r="U4" i="12"/>
  <c r="V4" i="12" s="1"/>
  <c r="Q4" i="12"/>
  <c r="R4" i="12" s="1"/>
  <c r="M4" i="12"/>
  <c r="N4" i="12" s="1"/>
  <c r="J4" i="12"/>
  <c r="K4" i="12" s="1"/>
  <c r="F4" i="12"/>
  <c r="G4" i="12" s="1"/>
  <c r="AI4" i="11"/>
  <c r="AJ4" i="11" s="1"/>
  <c r="AG3" i="11"/>
  <c r="AF4" i="11"/>
  <c r="AG4" i="11" s="1"/>
  <c r="AB4" i="11"/>
  <c r="AC4" i="11" s="1"/>
  <c r="X4" i="11"/>
  <c r="Y4" i="11" s="1"/>
  <c r="U4" i="11"/>
  <c r="V4" i="11" s="1"/>
  <c r="Q4" i="11"/>
  <c r="R4" i="11" s="1"/>
  <c r="M4" i="11"/>
  <c r="N4" i="11" s="1"/>
  <c r="J4" i="11"/>
  <c r="K4" i="11" s="1"/>
  <c r="F4" i="11"/>
  <c r="G4" i="11"/>
  <c r="AF4" i="10"/>
  <c r="AG4" i="10" s="1"/>
  <c r="AI4" i="10"/>
  <c r="AJ4" i="10" s="1"/>
  <c r="X4" i="10"/>
  <c r="Y4" i="10" s="1"/>
  <c r="U4" i="10"/>
  <c r="V4" i="10" s="1"/>
  <c r="Q4" i="10"/>
  <c r="R4" i="10" s="1"/>
  <c r="M4" i="10"/>
  <c r="N4" i="10" s="1"/>
  <c r="J4" i="10"/>
  <c r="K4" i="10" s="1"/>
  <c r="F4" i="10"/>
  <c r="G4" i="10" s="1"/>
  <c r="AI4" i="9"/>
  <c r="AJ4" i="9" s="1"/>
  <c r="AB4" i="9"/>
  <c r="AC4" i="9" s="1"/>
  <c r="X4" i="9"/>
  <c r="Y4" i="9" s="1"/>
  <c r="U4" i="9"/>
  <c r="V4" i="9"/>
  <c r="Q4" i="9"/>
  <c r="R4" i="9" s="1"/>
  <c r="M4" i="9"/>
  <c r="N4" i="9" s="1"/>
  <c r="J4" i="9"/>
  <c r="K4" i="9" s="1"/>
  <c r="F4" i="9"/>
  <c r="G4" i="9" s="1"/>
  <c r="AI4" i="8"/>
  <c r="AJ4" i="8" s="1"/>
  <c r="AF4" i="8"/>
  <c r="AG4" i="8"/>
  <c r="AB4" i="8"/>
  <c r="AC4" i="8" s="1"/>
  <c r="X4" i="8"/>
  <c r="Y4" i="8" s="1"/>
  <c r="U4" i="8"/>
  <c r="V4" i="8" s="1"/>
  <c r="Q4" i="8"/>
  <c r="R4" i="8" s="1"/>
  <c r="M4" i="8"/>
  <c r="N4" i="8" s="1"/>
  <c r="F4" i="8"/>
  <c r="G4" i="8" s="1"/>
  <c r="J4" i="8"/>
  <c r="K4" i="8" s="1"/>
  <c r="AF4" i="7"/>
  <c r="AG4" i="7" s="1"/>
  <c r="AB4" i="7"/>
  <c r="AC4" i="7" s="1"/>
  <c r="X4" i="7"/>
  <c r="Y4" i="7" s="1"/>
  <c r="U4" i="7"/>
  <c r="V4" i="7" s="1"/>
  <c r="M4" i="7"/>
  <c r="N4" i="7" s="1"/>
  <c r="J4" i="7"/>
  <c r="K4" i="7" s="1"/>
  <c r="F4" i="7"/>
  <c r="G4" i="7" s="1"/>
  <c r="AI4" i="6"/>
  <c r="AJ4" i="6" s="1"/>
  <c r="AF4" i="6"/>
  <c r="AG4" i="6" s="1"/>
  <c r="AB4" i="6"/>
  <c r="AC4" i="6"/>
  <c r="X4" i="6"/>
  <c r="Y4" i="6" s="1"/>
  <c r="U4" i="6"/>
  <c r="V4" i="6" s="1"/>
  <c r="Q4" i="6"/>
  <c r="R4" i="6"/>
  <c r="M4" i="6"/>
  <c r="N4" i="6" s="1"/>
  <c r="J4" i="6"/>
  <c r="K4" i="6"/>
  <c r="F4" i="6"/>
  <c r="G4" i="6" s="1"/>
  <c r="AI4" i="5"/>
  <c r="AJ4" i="5" s="1"/>
  <c r="AF4" i="5"/>
  <c r="AG4" i="5" s="1"/>
  <c r="AB4" i="5"/>
  <c r="AC4" i="5" s="1"/>
  <c r="X4" i="5"/>
  <c r="Y4" i="5" s="1"/>
  <c r="U4" i="5"/>
  <c r="V4" i="5" s="1"/>
  <c r="Q4" i="5"/>
  <c r="R4" i="5" s="1"/>
  <c r="M4" i="5"/>
  <c r="N4" i="5" s="1"/>
  <c r="J4" i="5"/>
  <c r="K4" i="5" s="1"/>
  <c r="F4" i="5"/>
  <c r="G4" i="5" s="1"/>
  <c r="AI4" i="2"/>
  <c r="AJ4" i="2" s="1"/>
  <c r="AF4" i="2"/>
  <c r="AG4" i="2" s="1"/>
  <c r="AB4" i="2"/>
  <c r="AC4" i="2" s="1"/>
  <c r="X4" i="2"/>
  <c r="Y4" i="2" s="1"/>
  <c r="U4" i="2"/>
  <c r="V4" i="2" s="1"/>
  <c r="Q4" i="2"/>
  <c r="R4" i="2" s="1"/>
  <c r="M4" i="2"/>
  <c r="N4" i="2" s="1"/>
  <c r="J4" i="2"/>
  <c r="K4" i="2" s="1"/>
  <c r="F4" i="2"/>
  <c r="G4" i="2" s="1"/>
  <c r="AI4" i="1"/>
  <c r="AJ4" i="1" s="1"/>
  <c r="AF4" i="1"/>
  <c r="AG4" i="1" s="1"/>
  <c r="AB4" i="1"/>
  <c r="AC4" i="1" s="1"/>
  <c r="X4" i="1"/>
  <c r="Y4" i="1" s="1"/>
  <c r="U4" i="1"/>
  <c r="V4" i="1"/>
  <c r="Q4" i="1"/>
  <c r="R4" i="1" s="1"/>
  <c r="M4" i="1"/>
  <c r="N4" i="1" s="1"/>
  <c r="J4" i="1"/>
  <c r="K4" i="1" s="1"/>
  <c r="F4" i="1"/>
  <c r="G4" i="1" s="1"/>
  <c r="BE4" i="4"/>
  <c r="BF4" i="4" s="1"/>
  <c r="BB4" i="4"/>
  <c r="BC4" i="4" s="1"/>
  <c r="AX3" i="4"/>
  <c r="AY3" i="4" s="1"/>
  <c r="AX4" i="4"/>
  <c r="AY4" i="4" s="1"/>
  <c r="AT4" i="4"/>
  <c r="AU4" i="4" s="1"/>
  <c r="AQ4" i="4"/>
  <c r="AR4" i="4" s="1"/>
  <c r="AM4" i="4"/>
  <c r="AN4" i="4" s="1"/>
  <c r="AM2" i="4"/>
  <c r="AN2" i="4" s="1"/>
  <c r="AQ2" i="4"/>
  <c r="AR2" i="4"/>
  <c r="AT2" i="4"/>
  <c r="AU2" i="4" s="1"/>
  <c r="AM3" i="4"/>
  <c r="AN3" i="4" s="1"/>
  <c r="AQ3" i="4"/>
  <c r="AR3" i="4"/>
  <c r="AT3" i="4"/>
  <c r="AU3" i="4" s="1"/>
  <c r="AI4" i="4"/>
  <c r="AJ4" i="4" s="1"/>
  <c r="AF3" i="4"/>
  <c r="AG3" i="4" s="1"/>
  <c r="AF4" i="4"/>
  <c r="AG4" i="4" s="1"/>
  <c r="AB4" i="4"/>
  <c r="AC4" i="4" s="1"/>
  <c r="X4" i="4"/>
  <c r="Y4" i="4" s="1"/>
  <c r="U4" i="4"/>
  <c r="V4" i="4" s="1"/>
  <c r="Q4" i="4"/>
  <c r="R4" i="4" s="1"/>
  <c r="M4" i="4"/>
  <c r="N4" i="4" s="1"/>
  <c r="J4" i="4"/>
  <c r="K4" i="4" s="1"/>
  <c r="F4" i="4"/>
  <c r="G4" i="4" s="1"/>
  <c r="AB3" i="8"/>
  <c r="AC3" i="8" s="1"/>
  <c r="AF3" i="8"/>
  <c r="AG3" i="8" s="1"/>
  <c r="AI3" i="8"/>
  <c r="AJ3" i="8" s="1"/>
  <c r="X3" i="8"/>
  <c r="Y3" i="8" s="1"/>
  <c r="U3" i="8"/>
  <c r="V3" i="8" s="1"/>
  <c r="M3" i="8"/>
  <c r="N3" i="8" s="1"/>
  <c r="J3" i="8"/>
  <c r="K3" i="8" s="1"/>
  <c r="AI3" i="12"/>
  <c r="AJ3" i="12" s="1"/>
  <c r="AF3" i="12"/>
  <c r="AG3" i="12" s="1"/>
  <c r="AB3" i="12"/>
  <c r="AC3" i="12" s="1"/>
  <c r="X3" i="12"/>
  <c r="Y3" i="12" s="1"/>
  <c r="U3" i="12"/>
  <c r="V3" i="12" s="1"/>
  <c r="Q3" i="12"/>
  <c r="R3" i="12" s="1"/>
  <c r="M3" i="12"/>
  <c r="N3" i="12" s="1"/>
  <c r="J3" i="12"/>
  <c r="K3" i="12" s="1"/>
  <c r="F3" i="12"/>
  <c r="G3" i="12"/>
  <c r="AI3" i="11"/>
  <c r="AJ3" i="11" s="1"/>
  <c r="AF3" i="11"/>
  <c r="AB3" i="11"/>
  <c r="AC3" i="11" s="1"/>
  <c r="Q3" i="11"/>
  <c r="R3" i="11" s="1"/>
  <c r="U3" i="11"/>
  <c r="V3" i="11" s="1"/>
  <c r="X3" i="11"/>
  <c r="Y3" i="11" s="1"/>
  <c r="M3" i="11"/>
  <c r="N3" i="11" s="1"/>
  <c r="J3" i="11"/>
  <c r="K3" i="11" s="1"/>
  <c r="F3" i="11"/>
  <c r="G3" i="11" s="1"/>
  <c r="AF3" i="10"/>
  <c r="AG3" i="10" s="1"/>
  <c r="AI3" i="10"/>
  <c r="AJ3" i="10" s="1"/>
  <c r="X3" i="10"/>
  <c r="Y3" i="10" s="1"/>
  <c r="U3" i="10"/>
  <c r="V3" i="10" s="1"/>
  <c r="Q3" i="10"/>
  <c r="R3" i="10" s="1"/>
  <c r="M3" i="10"/>
  <c r="N3" i="10" s="1"/>
  <c r="J3" i="10"/>
  <c r="K3" i="10" s="1"/>
  <c r="F3" i="10"/>
  <c r="G3" i="10" s="1"/>
  <c r="AI3" i="9"/>
  <c r="AJ3" i="9" s="1"/>
  <c r="AF3" i="9"/>
  <c r="AG3" i="9" s="1"/>
  <c r="AB2" i="9"/>
  <c r="AB3" i="9"/>
  <c r="X3" i="9"/>
  <c r="Y3" i="9" s="1"/>
  <c r="U3" i="9"/>
  <c r="V3" i="9" s="1"/>
  <c r="M3" i="9"/>
  <c r="N3" i="9" s="1"/>
  <c r="J3" i="9"/>
  <c r="K3" i="9" s="1"/>
  <c r="AF3" i="7"/>
  <c r="AG3" i="7" s="1"/>
  <c r="AB3" i="7"/>
  <c r="AC3" i="7" s="1"/>
  <c r="X3" i="7"/>
  <c r="Y3" i="7" s="1"/>
  <c r="U3" i="7"/>
  <c r="V3" i="7" s="1"/>
  <c r="M3" i="7"/>
  <c r="N3" i="7" s="1"/>
  <c r="J3" i="7"/>
  <c r="K3" i="7" s="1"/>
  <c r="F3" i="7"/>
  <c r="G3" i="7" s="1"/>
  <c r="AB3" i="6"/>
  <c r="AC3" i="6" s="1"/>
  <c r="AI3" i="6"/>
  <c r="AJ3" i="6" s="1"/>
  <c r="AF3" i="6"/>
  <c r="AG3" i="6" s="1"/>
  <c r="X3" i="6"/>
  <c r="Y3" i="6" s="1"/>
  <c r="U3" i="6"/>
  <c r="V3" i="6" s="1"/>
  <c r="Q3" i="6"/>
  <c r="R3" i="6" s="1"/>
  <c r="M3" i="6"/>
  <c r="N3" i="6" s="1"/>
  <c r="J3" i="6"/>
  <c r="K3" i="6" s="1"/>
  <c r="F3" i="6"/>
  <c r="G3" i="6" s="1"/>
  <c r="AI3" i="2"/>
  <c r="AJ3" i="2" s="1"/>
  <c r="AF3" i="2"/>
  <c r="AG3" i="2" s="1"/>
  <c r="AB3" i="2"/>
  <c r="AC3" i="2" s="1"/>
  <c r="U2" i="2"/>
  <c r="X3" i="2"/>
  <c r="Y3" i="2" s="1"/>
  <c r="U3" i="2"/>
  <c r="V3" i="2" s="1"/>
  <c r="M3" i="2"/>
  <c r="N3" i="2" s="1"/>
  <c r="J3" i="2"/>
  <c r="K3" i="2" s="1"/>
  <c r="F3" i="2"/>
  <c r="G3" i="2" s="1"/>
  <c r="AI3" i="5"/>
  <c r="AJ3" i="5" s="1"/>
  <c r="AF3" i="5"/>
  <c r="AG3" i="5" s="1"/>
  <c r="AB3" i="5"/>
  <c r="AC3" i="5" s="1"/>
  <c r="X3" i="5"/>
  <c r="Y3" i="5" s="1"/>
  <c r="U3" i="5"/>
  <c r="V3" i="5" s="1"/>
  <c r="Q3" i="5"/>
  <c r="R3" i="5" s="1"/>
  <c r="F3" i="5"/>
  <c r="G3" i="5" s="1"/>
  <c r="M3" i="5"/>
  <c r="N3" i="5" s="1"/>
  <c r="J3" i="5"/>
  <c r="K3" i="5" s="1"/>
  <c r="AI3" i="1"/>
  <c r="AJ3" i="1" s="1"/>
  <c r="AF3" i="1"/>
  <c r="AG3" i="1" s="1"/>
  <c r="AB3" i="1"/>
  <c r="AC3" i="1" s="1"/>
  <c r="X2" i="1"/>
  <c r="Y2" i="1" s="1"/>
  <c r="X3" i="1"/>
  <c r="Y3" i="1" s="1"/>
  <c r="U3" i="1"/>
  <c r="V3" i="1" s="1"/>
  <c r="U2" i="1"/>
  <c r="V2" i="1" s="1"/>
  <c r="Q3" i="1"/>
  <c r="R3" i="1" s="1"/>
  <c r="M3" i="1"/>
  <c r="N3" i="1" s="1"/>
  <c r="J3" i="1"/>
  <c r="K3" i="1" s="1"/>
  <c r="F3" i="1"/>
  <c r="G3" i="1"/>
  <c r="BE3" i="4"/>
  <c r="BF3" i="4" s="1"/>
  <c r="BB3" i="4"/>
  <c r="BC3" i="4" s="1"/>
  <c r="AI3" i="4"/>
  <c r="AJ3" i="4" s="1"/>
  <c r="AB3" i="4"/>
  <c r="AC3" i="4" s="1"/>
  <c r="X3" i="4"/>
  <c r="Y3" i="4" s="1"/>
  <c r="U3" i="4"/>
  <c r="V3" i="4" s="1"/>
  <c r="Q3" i="4"/>
  <c r="R3" i="4" s="1"/>
  <c r="M3" i="4"/>
  <c r="N3" i="4" s="1"/>
  <c r="F3" i="4"/>
  <c r="G3" i="4" s="1"/>
  <c r="J3" i="4" l="1"/>
  <c r="K3" i="4" s="1"/>
  <c r="Q3" i="8"/>
  <c r="R3" i="8" s="1"/>
  <c r="F3" i="8"/>
  <c r="G3" i="8" s="1"/>
  <c r="AB3" i="10"/>
  <c r="AC3" i="10" s="1"/>
  <c r="Q3" i="9"/>
  <c r="R3" i="9" s="1"/>
  <c r="F3" i="9"/>
  <c r="G3" i="9" s="1"/>
  <c r="Q3" i="7"/>
  <c r="R3" i="7" s="1"/>
  <c r="Q3" i="2"/>
  <c r="R3" i="2" s="1"/>
  <c r="M2" i="4" l="1"/>
  <c r="N2" i="4" s="1"/>
  <c r="F2" i="4"/>
  <c r="AI2" i="12" l="1"/>
  <c r="AJ2" i="12" s="1"/>
  <c r="AF2" i="12"/>
  <c r="AG2" i="12" s="1"/>
  <c r="AB2" i="12"/>
  <c r="AC2" i="12" s="1"/>
  <c r="X2" i="12"/>
  <c r="Y2" i="12" s="1"/>
  <c r="U2" i="12"/>
  <c r="V2" i="12" s="1"/>
  <c r="Q2" i="12"/>
  <c r="R2" i="12" s="1"/>
  <c r="M2" i="12"/>
  <c r="N2" i="12" s="1"/>
  <c r="J2" i="12"/>
  <c r="K2" i="12" s="1"/>
  <c r="F2" i="12"/>
  <c r="G2" i="12" s="1"/>
  <c r="AI2" i="11"/>
  <c r="AJ2" i="11" s="1"/>
  <c r="AF2" i="11"/>
  <c r="AG2" i="11" s="1"/>
  <c r="AB2" i="11"/>
  <c r="AC2" i="11" s="1"/>
  <c r="X2" i="11"/>
  <c r="Y2" i="11" s="1"/>
  <c r="U2" i="11"/>
  <c r="V2" i="11" s="1"/>
  <c r="Q2" i="11"/>
  <c r="R2" i="11" s="1"/>
  <c r="M2" i="11"/>
  <c r="N2" i="11" s="1"/>
  <c r="J2" i="11"/>
  <c r="K2" i="11" s="1"/>
  <c r="F2" i="11"/>
  <c r="G2" i="11" s="1"/>
  <c r="AI2" i="10"/>
  <c r="AJ2" i="10" s="1"/>
  <c r="AF2" i="10"/>
  <c r="AG2" i="10" s="1"/>
  <c r="AB2" i="10"/>
  <c r="AC2" i="10" s="1"/>
  <c r="Q2" i="10"/>
  <c r="R2" i="10" s="1"/>
  <c r="U2" i="10"/>
  <c r="V2" i="10" s="1"/>
  <c r="X2" i="10"/>
  <c r="Y2" i="10" s="1"/>
  <c r="F2" i="10"/>
  <c r="G2" i="10" s="1"/>
  <c r="J2" i="10"/>
  <c r="K2" i="10" s="1"/>
  <c r="M2" i="10"/>
  <c r="N2" i="10" s="1"/>
  <c r="AI2" i="9"/>
  <c r="AJ2" i="9" s="1"/>
  <c r="AF2" i="9"/>
  <c r="AG2" i="9" s="1"/>
  <c r="AC2" i="9"/>
  <c r="X2" i="9"/>
  <c r="Y2" i="9" s="1"/>
  <c r="U2" i="9"/>
  <c r="V2" i="9" s="1"/>
  <c r="Q2" i="9"/>
  <c r="R2" i="9" s="1"/>
  <c r="M2" i="9"/>
  <c r="N2" i="9" s="1"/>
  <c r="J2" i="9"/>
  <c r="K2" i="9" s="1"/>
  <c r="F2" i="9"/>
  <c r="G2" i="9" s="1"/>
  <c r="AI2" i="8"/>
  <c r="AJ2" i="8" s="1"/>
  <c r="AF2" i="8"/>
  <c r="AG2" i="8" s="1"/>
  <c r="AB2" i="8"/>
  <c r="AC2" i="8" s="1"/>
  <c r="X2" i="8"/>
  <c r="Y2" i="8" s="1"/>
  <c r="U2" i="8"/>
  <c r="V2" i="8" s="1"/>
  <c r="Q2" i="8"/>
  <c r="R2" i="8" s="1"/>
  <c r="M2" i="8"/>
  <c r="N2" i="8" s="1"/>
  <c r="J2" i="8"/>
  <c r="K2" i="8" s="1"/>
  <c r="F2" i="8"/>
  <c r="G2" i="8" s="1"/>
  <c r="AI2" i="7"/>
  <c r="AJ2" i="7" s="1"/>
  <c r="AF2" i="7"/>
  <c r="AG2" i="7" s="1"/>
  <c r="AB2" i="7"/>
  <c r="AC2" i="7" s="1"/>
  <c r="X2" i="7"/>
  <c r="Y2" i="7" s="1"/>
  <c r="U2" i="7"/>
  <c r="V2" i="7" s="1"/>
  <c r="Q2" i="7"/>
  <c r="R2" i="7" s="1"/>
  <c r="M2" i="7"/>
  <c r="N2" i="7" s="1"/>
  <c r="J2" i="7"/>
  <c r="K2" i="7" s="1"/>
  <c r="F2" i="7"/>
  <c r="G2" i="7" s="1"/>
  <c r="AI2" i="5"/>
  <c r="AJ2" i="5" s="1"/>
  <c r="AF2" i="5"/>
  <c r="AG2" i="5" s="1"/>
  <c r="AB2" i="5"/>
  <c r="AC2" i="5" s="1"/>
  <c r="X2" i="5"/>
  <c r="Y2" i="5" s="1"/>
  <c r="U2" i="5"/>
  <c r="V2" i="5" s="1"/>
  <c r="Q2" i="5"/>
  <c r="R2" i="5" s="1"/>
  <c r="F2" i="5"/>
  <c r="G2" i="5" s="1"/>
  <c r="J2" i="5"/>
  <c r="K2" i="5" s="1"/>
  <c r="M2" i="5"/>
  <c r="N2" i="5" s="1"/>
  <c r="AB2" i="6"/>
  <c r="AC2" i="6" s="1"/>
  <c r="AF2" i="6"/>
  <c r="AG2" i="6" s="1"/>
  <c r="AI2" i="6"/>
  <c r="AJ2" i="6" s="1"/>
  <c r="Q2" i="6"/>
  <c r="R2" i="6" s="1"/>
  <c r="U2" i="6"/>
  <c r="V2" i="6" s="1"/>
  <c r="X2" i="6"/>
  <c r="Y2" i="6" s="1"/>
  <c r="F2" i="6"/>
  <c r="G2" i="6" s="1"/>
  <c r="J2" i="6"/>
  <c r="K2" i="6" s="1"/>
  <c r="M2" i="6"/>
  <c r="N2" i="6" s="1"/>
  <c r="AI2" i="2"/>
  <c r="AJ2" i="2" s="1"/>
  <c r="AF2" i="2"/>
  <c r="AG2" i="2" s="1"/>
  <c r="AB2" i="2"/>
  <c r="AC2" i="2" s="1"/>
  <c r="Q2" i="2"/>
  <c r="R2" i="2" s="1"/>
  <c r="V2" i="2"/>
  <c r="X2" i="2"/>
  <c r="Y2" i="2" s="1"/>
  <c r="M2" i="2"/>
  <c r="N2" i="2" s="1"/>
  <c r="J2" i="2"/>
  <c r="K2" i="2" s="1"/>
  <c r="F2" i="2"/>
  <c r="G2" i="2" s="1"/>
  <c r="AI2" i="1"/>
  <c r="AJ2" i="1" s="1"/>
  <c r="AF2" i="1"/>
  <c r="AG2" i="1" s="1"/>
  <c r="AB2" i="1"/>
  <c r="AC2" i="1" s="1"/>
  <c r="Q2" i="1"/>
  <c r="R2" i="1" s="1"/>
  <c r="M2" i="1"/>
  <c r="N2" i="1" s="1"/>
  <c r="J2" i="1"/>
  <c r="K2" i="1" s="1"/>
  <c r="F2" i="1"/>
  <c r="G2" i="1" s="1"/>
  <c r="AX2" i="4"/>
  <c r="AY2" i="4" s="1"/>
  <c r="BB2" i="4"/>
  <c r="BC2" i="4" s="1"/>
  <c r="BE2" i="4"/>
  <c r="BF2" i="4" s="1"/>
  <c r="AB2" i="4"/>
  <c r="AC2" i="4" s="1"/>
  <c r="AF2" i="4"/>
  <c r="AG2" i="4" s="1"/>
  <c r="AI2" i="4"/>
  <c r="AJ2" i="4" s="1"/>
  <c r="U2" i="4"/>
  <c r="V2" i="4" s="1"/>
  <c r="X2" i="4"/>
  <c r="Y2" i="4" s="1"/>
  <c r="Q2" i="4"/>
  <c r="R2" i="4" s="1"/>
  <c r="J2" i="4" l="1"/>
  <c r="K2" i="4" s="1"/>
  <c r="G2" i="4"/>
</calcChain>
</file>

<file path=xl/sharedStrings.xml><?xml version="1.0" encoding="utf-8"?>
<sst xmlns="http://schemas.openxmlformats.org/spreadsheetml/2006/main" count="682" uniqueCount="103">
  <si>
    <t>Division</t>
  </si>
  <si>
    <t>Year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</si>
  <si>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</si>
  <si>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</si>
  <si>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</si>
  <si>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</si>
  <si>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</si>
  <si>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</si>
  <si>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</si>
  <si>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</si>
  <si>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</si>
  <si>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</si>
  <si>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</si>
  <si>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</si>
  <si>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</si>
  <si>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Student Enrollment</t>
  </si>
  <si>
    <t>Monthly Revenue Budget</t>
  </si>
  <si>
    <t>Monthly Revenue Actuals</t>
  </si>
  <si>
    <t>Monthly Revenue Variance</t>
  </si>
  <si>
    <t>Monthly Revenue Variance %</t>
  </si>
  <si>
    <t>Cumulative Revenue Budget</t>
  </si>
  <si>
    <t>Cumulative Revenue Variance</t>
  </si>
  <si>
    <t>Cumulative Revenue Variance %</t>
  </si>
  <si>
    <t xml:space="preserve">Revenue To Be Achieved </t>
  </si>
  <si>
    <t>Revenue To Be Achieved%</t>
  </si>
  <si>
    <t>Monthly Expenses Budget</t>
  </si>
  <si>
    <t>Monthly Expenses Actuals</t>
  </si>
  <si>
    <t>Monthly Expenses Variance</t>
  </si>
  <si>
    <t>Monthly Expenses Variance %</t>
  </si>
  <si>
    <t>Cumulative Expenses Budget</t>
  </si>
  <si>
    <t>Cumulative Expenses Variance</t>
  </si>
  <si>
    <t>Cumulative Expenses Variance %</t>
  </si>
  <si>
    <t xml:space="preserve">Expenses To Be Achieved </t>
  </si>
  <si>
    <t>Expenses To Be Achieved%</t>
  </si>
  <si>
    <t>Monthly Contribution Budget</t>
  </si>
  <si>
    <t>Monthly Contribution Actuals</t>
  </si>
  <si>
    <t>Monthly Contribution Variance</t>
  </si>
  <si>
    <t>Monthly Contribution Variance %</t>
  </si>
  <si>
    <t>Cumulative Contribution Budget</t>
  </si>
  <si>
    <t>Cumulative Contribution Variance</t>
  </si>
  <si>
    <t>Cumulative Contribution Variance %</t>
  </si>
  <si>
    <t xml:space="preserve">Contribution To Be Achieved </t>
  </si>
  <si>
    <t>Contribution To Be Achieved%</t>
  </si>
  <si>
    <t>Education</t>
  </si>
  <si>
    <t>Total Operations</t>
  </si>
  <si>
    <t>Monthly Surplus Before Tax Budget</t>
  </si>
  <si>
    <t>Monthly Surplus Before Tax Actuals</t>
  </si>
  <si>
    <t>Monthly Surplus Before Tax Variance</t>
  </si>
  <si>
    <t>Monthly Surplus Before Tax Variance %</t>
  </si>
  <si>
    <t>Cumulative Surplus Before Tax Budget</t>
  </si>
  <si>
    <t>Cumulative Surplus Before Tax Variance</t>
  </si>
  <si>
    <t>Cumulative Surplus Before Tax Variance %</t>
  </si>
  <si>
    <t xml:space="preserve">Surplus Before Tax To Be Achieved </t>
  </si>
  <si>
    <t>Surplus Before Tax To Be Achieved%</t>
  </si>
  <si>
    <t>Cumulative Surplus Before Tax Actuals</t>
  </si>
  <si>
    <t>Cumulative Expenses Actuals</t>
  </si>
  <si>
    <t>Cumulative Revenue Actuals</t>
  </si>
  <si>
    <t>Cumulative Contribution Actuals</t>
  </si>
  <si>
    <t>Cumulative Revenue Actual</t>
  </si>
  <si>
    <t>Cumulative Expenses Actual</t>
  </si>
  <si>
    <t>Cumulative Contribution Actual</t>
  </si>
  <si>
    <t>Student Training</t>
  </si>
  <si>
    <t>Examinations</t>
  </si>
  <si>
    <t>Member Relations</t>
  </si>
  <si>
    <t>Technical</t>
  </si>
  <si>
    <t>Business School</t>
  </si>
  <si>
    <t>Tax School</t>
  </si>
  <si>
    <t>Tax Faculty</t>
  </si>
  <si>
    <t>SAB Campus</t>
  </si>
  <si>
    <t>Monthly Operational Surplus Variance</t>
  </si>
  <si>
    <t>Monthly Operational Surplus Variance %</t>
  </si>
  <si>
    <t>Cumulative Operational Surplus Budget</t>
  </si>
  <si>
    <t>Cumulative Operational Surplus Actuals</t>
  </si>
  <si>
    <t>Cumulative Operational Surplus Variance</t>
  </si>
  <si>
    <t>Cumulative Operational Surplus Variance %</t>
  </si>
  <si>
    <t xml:space="preserve">Operational Surplus To Be Achieved </t>
  </si>
  <si>
    <t>Operational Surplus To Be Achieved%</t>
  </si>
  <si>
    <t>Monthly Net Interest Income Budget</t>
  </si>
  <si>
    <t>Monthly Net Interest Income Actuals</t>
  </si>
  <si>
    <t>Monthly Net Interest Income Variance</t>
  </si>
  <si>
    <t>Monthly Net Interest Income Variance %</t>
  </si>
  <si>
    <t>Cumulative Net Interest Income Budget</t>
  </si>
  <si>
    <t>Cumulative Net Interest Income Actuals</t>
  </si>
  <si>
    <t>Cumulative Net Interest Income Variance</t>
  </si>
  <si>
    <t>Cumulative Net Interest Income Variance %</t>
  </si>
  <si>
    <t xml:space="preserve">Net Interest Income To Be Achieved </t>
  </si>
  <si>
    <t>Net Interest Income To Be Achieved%</t>
  </si>
  <si>
    <t>Monthly Operational Surplus Budget</t>
  </si>
  <si>
    <t>Monthly Operational Surplus Actuals</t>
  </si>
  <si>
    <t>Revenue Total Budget 2026</t>
  </si>
  <si>
    <t>Expenses Total Budget 2026</t>
  </si>
  <si>
    <t>Contribution Total Budget 2026</t>
  </si>
  <si>
    <t>Operational Surplus Total Budget 2026</t>
  </si>
  <si>
    <t>Net Interest Income Total Budget 2026</t>
  </si>
  <si>
    <t>Surplus Before Tax Total Budget 2026</t>
  </si>
  <si>
    <t>Monthly Expenses Budget 2026</t>
  </si>
  <si>
    <t>Revenue To Be Achieved %</t>
  </si>
  <si>
    <t xml:space="preserve">Revenue Total Budget </t>
  </si>
  <si>
    <t xml:space="preserve">Cumulative Revenue Variance % </t>
  </si>
  <si>
    <t xml:space="preserve">Cumulative Revenue Variance </t>
  </si>
  <si>
    <t xml:space="preserve">Cumulative Revenue Actuals </t>
  </si>
  <si>
    <t xml:space="preserve">Monthly Revenue Variance </t>
  </si>
  <si>
    <t xml:space="preserve">Monthly Revenue Actuals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</si>
</sst>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18" fillId="0" borderId="0" xfId="0" applyFont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35" borderId="12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18" fillId="38" borderId="12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40" borderId="12" xfId="0" applyFont="1" applyFill="1" applyBorder="1" applyAlignment="1">
      <alignment horizontal="center" vertical="center" wrapText="1"/>
    </xf>
    <xf numFmtId="0" fontId="18" fillId="40" borderId="13" xfId="0" applyFont="1" applyFill="1" applyBorder="1" applyAlignment="1">
      <alignment horizontal="center" vertical="center" wrapText="1"/>
    </xf>
    <xf numFmtId="0" fontId="0" fillId="0" borderId="14" xfId="0" applyBorder="1"/>
    <xf numFmtId="0" fontId="0" fillId="36" borderId="10" xfId="0" applyFill="1" applyBorder="1"/>
    <xf numFmtId="2" fontId="0" fillId="36" borderId="10" xfId="0" applyNumberFormat="1" applyFill="1" applyBorder="1"/>
    <xf numFmtId="164" fontId="0" fillId="35" borderId="10" xfId="42" applyNumberFormat="1" applyFont="1" applyFill="1" applyBorder="1"/>
    <xf numFmtId="43" fontId="0" fillId="35" borderId="10" xfId="42" applyFont="1" applyFill="1" applyBorder="1"/>
    <xf numFmtId="164" fontId="0" fillId="34" borderId="10" xfId="42" applyNumberFormat="1" applyFont="1" applyFill="1" applyBorder="1"/>
    <xf numFmtId="43" fontId="0" fillId="34" borderId="10" xfId="42" applyFont="1" applyFill="1" applyBorder="1"/>
    <xf numFmtId="164" fontId="19" fillId="39" borderId="10" xfId="42" applyNumberFormat="1" applyFont="1" applyFill="1" applyBorder="1"/>
    <xf numFmtId="164" fontId="19" fillId="37" borderId="10" xfId="42" applyNumberFormat="1" applyFont="1" applyFill="1" applyBorder="1"/>
    <xf numFmtId="164" fontId="0" fillId="40" borderId="10" xfId="42" applyNumberFormat="1" applyFont="1" applyFill="1" applyBorder="1"/>
    <xf numFmtId="43" fontId="0" fillId="40" borderId="10" xfId="42" applyFont="1" applyFill="1" applyBorder="1"/>
    <xf numFmtId="43" fontId="0" fillId="40" borderId="15" xfId="42" applyFont="1" applyFill="1" applyBorder="1"/>
    <xf numFmtId="0" fontId="0" fillId="0" borderId="10" xfId="0" applyBorder="1"/>
    <xf numFmtId="0" fontId="0" fillId="0" borderId="16" xfId="0" applyBorder="1"/>
    <xf numFmtId="0" fontId="0" fillId="0" borderId="17" xfId="0" applyBorder="1"/>
    <xf numFmtId="164" fontId="0" fillId="35" borderId="17" xfId="42" applyNumberFormat="1" applyFont="1" applyFill="1" applyBorder="1"/>
    <xf numFmtId="43" fontId="0" fillId="35" borderId="17" xfId="42" applyFont="1" applyFill="1" applyBorder="1"/>
    <xf numFmtId="164" fontId="0" fillId="34" borderId="17" xfId="42" applyNumberFormat="1" applyFont="1" applyFill="1" applyBorder="1"/>
    <xf numFmtId="43" fontId="0" fillId="34" borderId="17" xfId="42" applyFont="1" applyFill="1" applyBorder="1"/>
    <xf numFmtId="164" fontId="19" fillId="39" borderId="17" xfId="42" applyNumberFormat="1" applyFont="1" applyFill="1" applyBorder="1"/>
    <xf numFmtId="164" fontId="19" fillId="37" borderId="17" xfId="42" applyNumberFormat="1" applyFont="1" applyFill="1" applyBorder="1"/>
    <xf numFmtId="164" fontId="0" fillId="40" borderId="17" xfId="42" applyNumberFormat="1" applyFont="1" applyFill="1" applyBorder="1"/>
    <xf numFmtId="43" fontId="0" fillId="40" borderId="17" xfId="42" applyFont="1" applyFill="1" applyBorder="1"/>
    <xf numFmtId="43" fontId="0" fillId="40" borderId="18" xfId="42" applyFont="1" applyFill="1" applyBorder="1"/>
    <xf numFmtId="43" fontId="19" fillId="40" borderId="12" xfId="42" applyFont="1" applyFill="1" applyBorder="1"/>
    <xf numFmtId="0" fontId="18" fillId="33" borderId="13" xfId="0" applyFont="1" applyFill="1" applyBorder="1" applyAlignment="1">
      <alignment horizontal="center" vertical="center" wrapText="1"/>
    </xf>
    <xf numFmtId="2" fontId="0" fillId="0" borderId="10" xfId="0" applyNumberFormat="1" applyBorder="1"/>
    <xf numFmtId="164" fontId="0" fillId="35" borderId="10" xfId="42" applyNumberFormat="1" applyFont="1" applyFill="1" applyBorder="1" applyAlignment="1">
      <alignment horizontal="center"/>
    </xf>
    <xf numFmtId="164" fontId="0" fillId="33" borderId="10" xfId="42" applyNumberFormat="1" applyFont="1" applyFill="1" applyBorder="1"/>
    <xf numFmtId="43" fontId="0" fillId="33" borderId="10" xfId="42" applyFont="1" applyFill="1" applyBorder="1"/>
    <xf numFmtId="43" fontId="0" fillId="33" borderId="15" xfId="42" applyFont="1" applyFill="1" applyBorder="1"/>
    <xf numFmtId="164" fontId="0" fillId="35" borderId="10" xfId="42" applyNumberFormat="1" applyFont="1" applyFill="1" applyBorder="1" applyAlignment="1">
      <alignment horizontal="left" indent="1"/>
    </xf>
    <xf numFmtId="0" fontId="0" fillId="36" borderId="17" xfId="0" applyFill="1" applyBorder="1"/>
    <xf numFmtId="164" fontId="0" fillId="33" borderId="17" xfId="42" applyNumberFormat="1" applyFont="1" applyFill="1" applyBorder="1"/>
    <xf numFmtId="43" fontId="0" fillId="33" borderId="17" xfId="42" applyFont="1" applyFill="1" applyBorder="1"/>
    <xf numFmtId="43" fontId="0" fillId="33" borderId="18" xfId="42" applyFont="1" applyFill="1" applyBorder="1"/>
    <xf numFmtId="164" fontId="0" fillId="0" borderId="0" xfId="0" applyNumberFormat="1"/>
    <xf numFmtId="43" fontId="0" fillId="35" borderId="10" xfId="42" applyFont="1" applyFill="1" applyBorder="1" applyAlignment="1">
      <alignment horizontal="left" indent="1"/>
    </xf>
    <xf numFmtId="43" fontId="19" fillId="39" borderId="10" xfId="42" applyFont="1" applyFill="1" applyBorder="1"/>
    <xf numFmtId="43" fontId="19" fillId="37" borderId="10" xfId="42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7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000000"/>
          <bgColor rgb="FFFFFF0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000000"/>
          <bgColor rgb="FFFFFF0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000000"/>
          <bgColor rgb="FFFFFF0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000000"/>
          <bgColor rgb="FFFFFF0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000000"/>
          <bgColor rgb="FFFFFF0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000000"/>
          <bgColor rgb="FFFFFF0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000000"/>
          <bgColor rgb="FFFFFF0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000000"/>
          <bgColor rgb="FFFFFF0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000000"/>
          <bgColor rgb="FFFFFF0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rgb="FF000000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rgb="FF000000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rgb="FF000000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rgb="FF000000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rgb="FF000000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rgb="FF000000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rgb="FF000000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rgb="FF000000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rgb="FF000000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rgb="FF000000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rgb="FF000000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rgb="FF000000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rgb="FF000000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rgb="FF000000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rgb="FF000000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rgb="FF000000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rgb="FF000000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rgb="FF000000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rgb="FF000000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rgb="FF000000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rgb="FF000000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solid">
          <fgColor rgb="FF000000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000000"/>
          <bgColor rgb="FFFFFF0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V1-Financial%20Statements%20For%20the%20Month%20of%20Jan%202026%204.2.2025.xlsx" TargetMode="External"/><Relationship Id="rId2" Type="http://schemas.openxmlformats.org/officeDocument/2006/relationships/externalLinkPath" Target="file:///D:\CA%20Sri%20Lanka%202026\Divisional%20KPIs%202026\V1-Financial%20Statements%20For%20the%20Month%20of%20Jan%202026%204.2.2025.xlsx" TargetMode="External"/><Relationship Id="rId1" Type="http://schemas.openxmlformats.org/officeDocument/2006/relationships/externalLinkPath" Target="/CA%20Sri%20Lanka%202026/Divisional%20KPIs%202026/V1-Financial%20Statements%20For%20the%20Month%20of%20Jan%202026%204.2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2"/>
      <sheetName val="Council paper"/>
      <sheetName val="P&amp;L-Budget Vs Actual"/>
      <sheetName val="Ratios"/>
      <sheetName val="SCI"/>
      <sheetName val="SCI Notes 02"/>
      <sheetName val="SCI Notes 01"/>
      <sheetName val="SCI Notes 03"/>
      <sheetName val="SFP "/>
      <sheetName val="SFP Notes 01"/>
      <sheetName val="SFP Notes 02"/>
      <sheetName val="Notes 11 - 13"/>
      <sheetName val="SFP Notes 03"/>
      <sheetName val="Workings TB"/>
      <sheetName val="Budget Vs Actual (2)"/>
      <sheetName val="Budget 2026"/>
      <sheetName val="Master"/>
      <sheetName val=" SFP Notes 05"/>
      <sheetName val="Notes 14 - 17 "/>
      <sheetName val="Reasons for variance"/>
      <sheetName val="SCI Notes 01 With Analysis"/>
      <sheetName val="Balance sheet Commentary"/>
      <sheetName val="SFP Notes 04"/>
      <sheetName val="JE"/>
      <sheetName val="Budget Vs Actual"/>
      <sheetName val="Sheet1"/>
      <sheetName val="Sheet3"/>
      <sheetName val="Major Variances"/>
      <sheetName val="SCI Notes 02 (2)"/>
      <sheetName val="SAP TB 2025 Dec"/>
      <sheetName val="TB Sap"/>
      <sheetName val="TB 2025 Dec"/>
      <sheetName val="SSCL TAX"/>
      <sheetName val="TB pronto Jan 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DAE5A3-9DF4-4CA4-A366-C1E655E5E0B2}" name="Table135" displayName="Table135" ref="A1:BF13" totalsRowShown="0" headerRowDxfId="472" dataDxfId="470" headerRowBorderDxfId="471" tableBorderDxfId="469" totalsRowBorderDxfId="468" dataCellStyle="Comma">
  <tableColumns count="58">
    <tableColumn id="1" xr3:uid="{744E9071-8BED-49FE-A2CC-65E14D15D0F9}" name="Division" dataDxfId="467"/>
    <tableColumn id="2" xr3:uid="{A8950123-0F2B-46F8-9583-EB69D62D85F1}" name="Year" dataDxfId="466"/>
    <tableColumn id="3" xr3:uid="{58632E2B-924D-4564-B399-6A9D162F8199}" name="Month" dataDxfId="465"/>
    <tableColumn id="4" xr3:uid="{F935313F-4FC1-47FB-A61A-E58D6EDAF840}" name="Monthly Revenue Budget" dataDxfId="464" dataCellStyle="Comma">
      <calculatedColumnFormula>[1]SCI!$C$5</calculatedColumnFormula>
    </tableColumn>
    <tableColumn id="5" xr3:uid="{9472FA71-2239-48AE-867D-F205AEC414DF}" name="Monthly Revenue Actuals " dataDxfId="463" dataCellStyle="Comma"/>
    <tableColumn id="6" xr3:uid="{0A040DFE-745E-4E49-98CC-A3FF5E847E9A}" name="Monthly Revenue Variance " dataDxfId="462" dataCellStyle="Comma"/>
    <tableColumn id="7" xr3:uid="{183C4BDA-E56B-4E67-AA9E-7B24B4274137}" name="Monthly Revenue Variance %" dataDxfId="461" dataCellStyle="Comma"/>
    <tableColumn id="8" xr3:uid="{145E20A7-F2D2-4A11-AAC7-5583817309F4}" name="Cumulative Revenue Budget" dataDxfId="460" dataCellStyle="Comma"/>
    <tableColumn id="9" xr3:uid="{7ACF1098-1CF3-463F-9322-F7056D5515F7}" name="Cumulative Revenue Actuals " dataDxfId="459" dataCellStyle="Comma"/>
    <tableColumn id="10" xr3:uid="{B7C16C4B-8FB5-42D4-A297-D8FF6233E1AD}" name="Cumulative Revenue Variance " dataDxfId="458" dataCellStyle="Comma"/>
    <tableColumn id="11" xr3:uid="{D9440A5E-BB91-4865-92DC-3C97B735AF95}" name="Cumulative Revenue Variance % " dataDxfId="457" dataCellStyle="Comma"/>
    <tableColumn id="12" xr3:uid="{C951FBE6-A7BC-47DB-ADEF-8764AF841DB3}" name="Revenue Total Budget " dataDxfId="456" dataCellStyle="Comma"/>
    <tableColumn id="13" xr3:uid="{F785A6E8-80FC-41CC-8B65-583D5508F169}" name="Revenue To Be Achieved " dataDxfId="455" dataCellStyle="Comma"/>
    <tableColumn id="14" xr3:uid="{4FB271BD-A5C1-4738-AB63-D25F2C7C1786}" name="Revenue To Be Achieved %" dataDxfId="454" dataCellStyle="Comma"/>
    <tableColumn id="15" xr3:uid="{8F492CCD-F393-446E-9F3F-40A03710D2D4}" name="Monthly Expenses Budget 2026" dataDxfId="453" dataCellStyle="Comma"/>
    <tableColumn id="16" xr3:uid="{7132B3DA-D2AE-40D5-9AA2-16D218D09658}" name="Monthly Expenses Actuals" dataDxfId="452" dataCellStyle="Comma"/>
    <tableColumn id="17" xr3:uid="{65FE7077-A90B-45E4-B9C1-4D04CD8027A6}" name="Monthly Expenses Variance" dataDxfId="451" dataCellStyle="Comma"/>
    <tableColumn id="18" xr3:uid="{2DD8176E-2626-422E-8D9B-833CED41EC5E}" name="Monthly Expenses Variance %" dataDxfId="450" dataCellStyle="Comma"/>
    <tableColumn id="19" xr3:uid="{1A3C9C3B-8EF7-468F-9A73-90C77B625680}" name="Cumulative Expenses Budget" dataDxfId="449" dataCellStyle="Comma"/>
    <tableColumn id="20" xr3:uid="{42D85960-31AC-466F-A4D5-B9ABD5BD0D15}" name="Cumulative Expenses Actuals" dataDxfId="448" dataCellStyle="Comma"/>
    <tableColumn id="21" xr3:uid="{C0565C4E-27AE-48A1-BDBE-4AAB9358D901}" name="Cumulative Expenses Variance" dataDxfId="447" dataCellStyle="Comma"/>
    <tableColumn id="22" xr3:uid="{CF15264A-D626-4ACE-9D20-704061BEA3BB}" name="Cumulative Expenses Variance %" dataDxfId="446" dataCellStyle="Comma"/>
    <tableColumn id="23" xr3:uid="{0F05FEF6-7A94-4546-9010-DA544ABF3F03}" name="Expenses Total Budget 2026" dataDxfId="445" dataCellStyle="Comma"/>
    <tableColumn id="24" xr3:uid="{4C39B380-6E2D-494D-B35C-6407E8672CB8}" name="Expenses To Be Achieved " dataDxfId="444" dataCellStyle="Comma"/>
    <tableColumn id="25" xr3:uid="{67D0D5B8-6ED0-4780-BF0A-1AF7147F6D24}" name="Expenses To Be Achieved%" dataDxfId="443" dataCellStyle="Comma"/>
    <tableColumn id="37" xr3:uid="{2FC91C3B-AF5B-409D-B0FA-88BF43CBCDCA}" name="Monthly Operational Surplus Budget" dataDxfId="442" dataCellStyle="Comma"/>
    <tableColumn id="38" xr3:uid="{7F3B629F-0E49-4750-B076-3197B873D5FB}" name="Monthly Operational Surplus Actuals" dataDxfId="441" dataCellStyle="Comma"/>
    <tableColumn id="39" xr3:uid="{F519A257-1634-4323-83B4-3A4BC3AF52D8}" name="Monthly Operational Surplus Variance" dataDxfId="440" dataCellStyle="Comma"/>
    <tableColumn id="40" xr3:uid="{685DD924-E05E-449B-8F2A-0EDBC07E897C}" name="Monthly Operational Surplus Variance %" dataDxfId="439" dataCellStyle="Comma"/>
    <tableColumn id="41" xr3:uid="{CCA6440B-7A50-41EC-A18F-AAEBBE4FB29D}" name="Cumulative Operational Surplus Budget" dataDxfId="438" dataCellStyle="Comma"/>
    <tableColumn id="42" xr3:uid="{CA990CB0-569E-4150-AA3B-5FEC766BFE43}" name="Cumulative Operational Surplus Actuals" dataDxfId="437" dataCellStyle="Comma"/>
    <tableColumn id="43" xr3:uid="{A62AD1F1-6F7E-49C8-AB0C-8FCB5805D6B7}" name="Cumulative Operational Surplus Variance" dataDxfId="436" dataCellStyle="Comma"/>
    <tableColumn id="44" xr3:uid="{E99CFF10-D1C7-4155-AFB0-6E151C3345B6}" name="Cumulative Operational Surplus Variance %" dataDxfId="435" dataCellStyle="Comma"/>
    <tableColumn id="45" xr3:uid="{D5E1C908-3F68-463D-ADBF-48009DFF5089}" name="Operational Surplus Total Budget 2026" dataDxfId="434" dataCellStyle="Comma"/>
    <tableColumn id="46" xr3:uid="{B228698D-F7B6-4D0D-BDCE-EA40BF3EA24B}" name="Operational Surplus To Be Achieved " dataDxfId="433" dataCellStyle="Comma"/>
    <tableColumn id="47" xr3:uid="{DC599C24-BE09-47D6-9F9B-FF1C1C0CEC0C}" name="Operational Surplus To Be Achieved%" dataDxfId="432" dataCellStyle="Comma"/>
    <tableColumn id="48" xr3:uid="{E2F1DEBD-331E-4A46-9317-AEA2A30D7E44}" name="Monthly Net Interest Income Budget" dataDxfId="431" dataCellStyle="Comma"/>
    <tableColumn id="49" xr3:uid="{4098074A-3B77-4964-ADB9-18CB0ADFDEE9}" name="Monthly Net Interest Income Actuals" dataDxfId="430" dataCellStyle="Comma"/>
    <tableColumn id="50" xr3:uid="{DFE94978-57EF-44B4-94F7-DB7F084B8FFA}" name="Monthly Net Interest Income Variance" dataDxfId="429" dataCellStyle="Comma"/>
    <tableColumn id="51" xr3:uid="{D3AEADAA-2E36-4807-9F8C-5C72255F11FE}" name="Monthly Net Interest Income Variance %" dataDxfId="428" dataCellStyle="Comma"/>
    <tableColumn id="52" xr3:uid="{A1896FBD-7C32-423C-A64A-072B7316D028}" name="Cumulative Net Interest Income Budget" dataDxfId="427" dataCellStyle="Comma"/>
    <tableColumn id="53" xr3:uid="{68C43244-F01B-465E-8D3D-EFF754059880}" name="Cumulative Net Interest Income Actuals" dataDxfId="426" dataCellStyle="Comma"/>
    <tableColumn id="54" xr3:uid="{81BFBBF1-3CE8-49A5-BC45-FB2697BCF5B5}" name="Cumulative Net Interest Income Variance" dataDxfId="425" dataCellStyle="Comma"/>
    <tableColumn id="55" xr3:uid="{0FD4C13A-CE25-4900-A371-7CFF4B52C9FE}" name="Cumulative Net Interest Income Variance %" dataDxfId="424" dataCellStyle="Comma"/>
    <tableColumn id="56" xr3:uid="{97F87571-7A34-4071-B54F-9636B0391845}" name="Net Interest Income Total Budget 2026" dataDxfId="423" dataCellStyle="Comma"/>
    <tableColumn id="57" xr3:uid="{556E473E-E8EF-49CE-B919-BED9C815F3D3}" name="Net Interest Income To Be Achieved " dataDxfId="422" dataCellStyle="Comma"/>
    <tableColumn id="58" xr3:uid="{52B61B5E-7918-422E-9847-091D55346D31}" name="Net Interest Income To Be Achieved%" dataDxfId="421" dataCellStyle="Comma"/>
    <tableColumn id="26" xr3:uid="{6D0BDF06-EB12-4120-A69D-078961C438D0}" name="Monthly Surplus Before Tax Budget" dataDxfId="420" dataCellStyle="Comma"/>
    <tableColumn id="27" xr3:uid="{3EB94269-CE14-497D-AE42-13C708E25D5F}" name="Monthly Surplus Before Tax Actuals" dataDxfId="419" dataCellStyle="Comma"/>
    <tableColumn id="28" xr3:uid="{94D331CB-0E29-4E0C-87AD-F5511E39635C}" name="Monthly Surplus Before Tax Variance" dataDxfId="418" dataCellStyle="Comma"/>
    <tableColumn id="29" xr3:uid="{3A963E74-44E0-49D4-B2D8-E650BD0F4FFB}" name="Monthly Surplus Before Tax Variance %" dataDxfId="417" dataCellStyle="Comma"/>
    <tableColumn id="30" xr3:uid="{85ABBA5C-FD47-4186-AB80-59D3C202155B}" name="Cumulative Surplus Before Tax Budget" dataDxfId="416" dataCellStyle="Comma"/>
    <tableColumn id="31" xr3:uid="{8BF17A22-18B9-4BCE-B5FF-F1AE446D27BF}" name="Cumulative Surplus Before Tax Actuals" dataDxfId="415" dataCellStyle="Comma"/>
    <tableColumn id="32" xr3:uid="{84DAE8A8-D2F0-4DB9-8A77-44EF2B6B4865}" name="Cumulative Surplus Before Tax Variance" dataDxfId="414" dataCellStyle="Comma"/>
    <tableColumn id="33" xr3:uid="{DDD068FE-6318-4ACC-82BA-AAE65E9EF99F}" name="Cumulative Surplus Before Tax Variance %" dataDxfId="413" dataCellStyle="Comma"/>
    <tableColumn id="34" xr3:uid="{65D438F7-AE5D-49FC-B632-FD358F86865B}" name="Surplus Before Tax Total Budget 2026" dataDxfId="412" dataCellStyle="Comma"/>
    <tableColumn id="35" xr3:uid="{DFB0D99A-41C2-4763-B5EB-28420CBB480A}" name="Surplus Before Tax To Be Achieved " dataDxfId="411" dataCellStyle="Comma"/>
    <tableColumn id="36" xr3:uid="{7AC9FA35-B033-4BFE-AD5A-1813141F4055}" name="Surplus Before Tax To Be Achieved%" dataDxfId="410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3D5AFC-A91E-4BD9-B2F8-11C370407DB9}" name="Table1" displayName="Table1" ref="A1:AJ13" totalsRowShown="0" headerRowDxfId="409" dataDxfId="407" headerRowBorderDxfId="408" tableBorderDxfId="406" totalsRowBorderDxfId="405" dataCellStyle="Comma">
  <autoFilter ref="A1:AJ13" xr:uid="{F93D5AFC-A91E-4BD9-B2F8-11C370407DB9}"/>
  <tableColumns count="36">
    <tableColumn id="1" xr3:uid="{5E0FC09B-491B-4CE2-853A-839E599255D1}" name="Division" dataDxfId="404"/>
    <tableColumn id="2" xr3:uid="{2FFFDD9F-5587-4B93-AC54-B7DDBD0992F9}" name="Year" dataDxfId="403"/>
    <tableColumn id="3" xr3:uid="{C04FFAEA-94C1-474D-B966-CB865160A06D}" name="Month" dataDxfId="402"/>
    <tableColumn id="4" xr3:uid="{C269B43E-E134-44CD-8D68-B16BE2998F8E}" name="Monthly Revenue Budget" dataDxfId="401" dataCellStyle="Comma"/>
    <tableColumn id="5" xr3:uid="{08CB3C1F-459E-4E5B-B273-90779AF30C3F}" name="Monthly Revenue Actuals" dataDxfId="400" dataCellStyle="Comma"/>
    <tableColumn id="6" xr3:uid="{5833DFDA-A004-4C12-8B29-637ADCB1B5EF}" name="Monthly Revenue Variance" dataDxfId="399" dataCellStyle="Comma"/>
    <tableColumn id="7" xr3:uid="{EA145FF0-939E-4C38-8E87-4456E3376DAF}" name="Monthly Revenue Variance %" dataDxfId="398" dataCellStyle="Comma"/>
    <tableColumn id="8" xr3:uid="{81585F85-7041-48C9-9BBD-92D150373331}" name="Cumulative Revenue Budget" dataDxfId="397" dataCellStyle="Comma"/>
    <tableColumn id="9" xr3:uid="{6A300629-CB8D-4650-8040-EAB6058206B8}" name="Cumulative Revenue Actual" dataDxfId="396" dataCellStyle="Comma"/>
    <tableColumn id="10" xr3:uid="{286292C7-46CC-4E9F-AE6D-37E93F059519}" name="Cumulative Revenue Variance" dataDxfId="395" dataCellStyle="Comma"/>
    <tableColumn id="11" xr3:uid="{FD8A8440-27C6-43D8-A8EF-097343EFC7F1}" name="Cumulative Revenue Variance %" dataDxfId="394" dataCellStyle="Comma"/>
    <tableColumn id="12" xr3:uid="{48AD0AC6-669C-4F35-B75F-315D5A916CB9}" name="Revenue Total Budget 2026" dataDxfId="393" dataCellStyle="Comma"/>
    <tableColumn id="13" xr3:uid="{A2A1AED6-75A6-4895-8027-E3B4ECA58250}" name="Revenue To Be Achieved " dataDxfId="392" dataCellStyle="Comma"/>
    <tableColumn id="14" xr3:uid="{C088D661-32F7-45E7-B7BF-62FCA37BC2AC}" name="Revenue To Be Achieved%" dataDxfId="391" dataCellStyle="Comma"/>
    <tableColumn id="15" xr3:uid="{BA8D8C98-8619-487F-B27E-F96F97E58F58}" name="Monthly Expenses Budget" dataDxfId="390" dataCellStyle="Comma"/>
    <tableColumn id="16" xr3:uid="{EBB4C89B-EC15-46FF-B93A-8174970A53F7}" name="Monthly Expenses Actuals" dataDxfId="389" dataCellStyle="Comma"/>
    <tableColumn id="17" xr3:uid="{F708891F-EA41-44A1-8816-C6FFC3DD03A0}" name="Monthly Expenses Variance" dataDxfId="388" dataCellStyle="Comma"/>
    <tableColumn id="18" xr3:uid="{3E3B2271-760E-49FB-B966-2BCF72951144}" name="Monthly Expenses Variance %" dataDxfId="387" dataCellStyle="Comma"/>
    <tableColumn id="19" xr3:uid="{E788B345-31F6-42E7-9B63-4853EF793313}" name="Cumulative Expenses Budget" dataDxfId="386" dataCellStyle="Comma"/>
    <tableColumn id="20" xr3:uid="{C42C5238-D969-4FD8-A32D-A48F99C0CAF0}" name="Cumulative Expenses Actual" dataDxfId="385" dataCellStyle="Comma"/>
    <tableColumn id="21" xr3:uid="{869B8EE6-80D4-4AEF-AB6D-F12460FC3892}" name="Cumulative Expenses Variance" dataDxfId="384" dataCellStyle="Comma"/>
    <tableColumn id="22" xr3:uid="{E3BC2BB6-FFCF-4FC6-91C7-2B60951D3D96}" name="Cumulative Expenses Variance %" dataDxfId="383" dataCellStyle="Comma"/>
    <tableColumn id="23" xr3:uid="{C41F2BAF-4F1E-4044-83CD-06B7E147A1F6}" name="Expenses Total Budget 2026" dataDxfId="382" dataCellStyle="Comma"/>
    <tableColumn id="24" xr3:uid="{FC621876-DA11-4EF4-84CE-3CB1E63B99C2}" name="Expenses To Be Achieved " dataDxfId="381" dataCellStyle="Comma"/>
    <tableColumn id="25" xr3:uid="{8379D801-1804-4C66-8FBE-44C3A34EF4F4}" name="Expenses To Be Achieved%" dataDxfId="380" dataCellStyle="Comma"/>
    <tableColumn id="26" xr3:uid="{89C44688-E01A-4E13-8342-C7ED6FA127EE}" name="Monthly Contribution Budget" dataDxfId="379" dataCellStyle="Comma"/>
    <tableColumn id="27" xr3:uid="{29F027A5-F90F-494F-A779-178A324BCFC6}" name="Monthly Contribution Actuals" dataDxfId="378" dataCellStyle="Comma"/>
    <tableColumn id="28" xr3:uid="{D132819B-9483-42F0-ADD7-F4E51C1B0829}" name="Monthly Contribution Variance" dataDxfId="377" dataCellStyle="Comma"/>
    <tableColumn id="29" xr3:uid="{14D51980-F7CF-49AA-ADA4-F6B46DD46C48}" name="Monthly Contribution Variance %" dataDxfId="376" dataCellStyle="Comma"/>
    <tableColumn id="30" xr3:uid="{457916E7-8874-473B-91C0-B2F8DA6E7BB8}" name="Cumulative Contribution Budget" dataDxfId="375" dataCellStyle="Comma"/>
    <tableColumn id="31" xr3:uid="{84D09EA6-825F-4883-ABCB-7D5B8AD11855}" name="Cumulative Contribution Actual" dataDxfId="374" dataCellStyle="Comma"/>
    <tableColumn id="32" xr3:uid="{4EBF8661-0378-4252-8315-FFAD0389C35D}" name="Cumulative Contribution Variance" dataDxfId="373" dataCellStyle="Comma"/>
    <tableColumn id="33" xr3:uid="{51A941D2-C431-45D9-B23C-7F6E987BE56E}" name="Cumulative Contribution Variance %" dataDxfId="372" dataCellStyle="Comma"/>
    <tableColumn id="34" xr3:uid="{0E5ED821-0AF3-4C2A-ACE9-95EEF09B040A}" name="Contribution Total Budget 2026" dataDxfId="371" dataCellStyle="Comma"/>
    <tableColumn id="35" xr3:uid="{76432678-06B8-46FB-AE8A-4D740753CB13}" name="Contribution To Be Achieved " dataDxfId="370" dataCellStyle="Comma"/>
    <tableColumn id="36" xr3:uid="{272118C2-0294-435E-8473-F8EF7157A3DD}" name="Contribution To Be Achieved%" dataDxfId="369" dataCellStyle="Comm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66B616-4EDA-4CBE-9301-24D29C265E89}" name="Table13" displayName="Table13" ref="A1:AJ13" totalsRowShown="0" headerRowDxfId="368" dataDxfId="366" headerRowBorderDxfId="367" tableBorderDxfId="365" totalsRowBorderDxfId="364" dataCellStyle="Comma">
  <tableColumns count="36">
    <tableColumn id="1" xr3:uid="{52C7C77A-172F-4222-9F3C-75F05BFFB652}" name="Division" dataDxfId="363"/>
    <tableColumn id="2" xr3:uid="{71EA292D-84FE-4E4B-9F86-EB3EC9B48519}" name="Year" dataDxfId="362"/>
    <tableColumn id="3" xr3:uid="{42305899-2798-4FCF-80E0-E7BD12076137}" name="Month" dataDxfId="361"/>
    <tableColumn id="4" xr3:uid="{72C50004-CEB1-42EF-BAB7-EDFAA5056756}" name="Monthly Revenue Budget" dataDxfId="360" dataCellStyle="Comma"/>
    <tableColumn id="5" xr3:uid="{9EAA647B-77FD-4EEA-A08C-8BC7A9BC5264}" name="Monthly Revenue Actuals" dataDxfId="359" dataCellStyle="Comma"/>
    <tableColumn id="6" xr3:uid="{70341B6C-15ED-4EE7-A678-224151372C3A}" name="Monthly Revenue Variance" dataDxfId="358" dataCellStyle="Comma"/>
    <tableColumn id="7" xr3:uid="{4E38FAD6-1D4E-413A-8F60-A35B324F73E0}" name="Monthly Revenue Variance %" dataDxfId="357" dataCellStyle="Comma"/>
    <tableColumn id="8" xr3:uid="{5BDA333B-9C86-4E34-B67B-7EDD3FC4A2F7}" name="Cumulative Revenue Budget" dataDxfId="356" dataCellStyle="Comma"/>
    <tableColumn id="9" xr3:uid="{A3E32DF3-C8F0-4B62-B0F9-73AED58B224D}" name="Cumulative Revenue Actual" dataDxfId="355" dataCellStyle="Comma"/>
    <tableColumn id="10" xr3:uid="{B415FDF4-22B6-464A-B5DC-2EB95EE1C1B3}" name="Cumulative Revenue Variance" dataDxfId="354" dataCellStyle="Comma"/>
    <tableColumn id="11" xr3:uid="{1193BD37-B88E-438A-9189-30B54B82835F}" name="Cumulative Revenue Variance %" dataDxfId="353" dataCellStyle="Comma"/>
    <tableColumn id="12" xr3:uid="{F957E8DD-214A-4213-BBFF-2CE697F8308A}" name="Revenue Total Budget 2026" dataDxfId="352" dataCellStyle="Comma"/>
    <tableColumn id="13" xr3:uid="{ADAF7F50-1E29-4407-B65C-59797170500D}" name="Revenue To Be Achieved " dataDxfId="351" dataCellStyle="Comma"/>
    <tableColumn id="14" xr3:uid="{6D58EB24-B620-4F67-9270-06E14B2D4EE7}" name="Revenue To Be Achieved%" dataDxfId="350" dataCellStyle="Comma"/>
    <tableColumn id="15" xr3:uid="{20D48C2D-52A1-4E23-83F2-D976A3D3AA7D}" name="Monthly Expenses Budget" dataDxfId="349" dataCellStyle="Comma"/>
    <tableColumn id="16" xr3:uid="{FA57D338-6AA8-4D14-9C3C-864DC86F9EB4}" name="Monthly Expenses Actuals" dataDxfId="348" dataCellStyle="Comma"/>
    <tableColumn id="17" xr3:uid="{E33F7889-8DB5-4953-8568-1ADCAA08B362}" name="Monthly Expenses Variance" dataDxfId="347" dataCellStyle="Comma"/>
    <tableColumn id="18" xr3:uid="{666EEE6B-36A5-4402-9197-EFF006742F6C}" name="Monthly Expenses Variance %" dataDxfId="346" dataCellStyle="Comma"/>
    <tableColumn id="19" xr3:uid="{A9ABDFEB-0A32-4F15-B8AA-42A5987796FC}" name="Cumulative Expenses Budget" dataDxfId="345" dataCellStyle="Comma"/>
    <tableColumn id="20" xr3:uid="{3753D070-D773-445F-9F1A-2968BA8BEC16}" name="Cumulative Expenses Actual" dataDxfId="344" dataCellStyle="Comma"/>
    <tableColumn id="21" xr3:uid="{B56E7616-40B8-477F-8DB5-C13799A7F8A1}" name="Cumulative Expenses Variance" dataDxfId="343" dataCellStyle="Comma"/>
    <tableColumn id="22" xr3:uid="{DBFBD91A-0B80-4057-9877-BD7D2E2B7ADA}" name="Cumulative Expenses Variance %" dataDxfId="342" dataCellStyle="Comma"/>
    <tableColumn id="23" xr3:uid="{69836D90-1A9D-48BF-9AB6-7C20F2170302}" name="Expenses Total Budget 2026" dataDxfId="341" dataCellStyle="Comma"/>
    <tableColumn id="24" xr3:uid="{DC2C4E09-7B97-4088-89B0-9C95882FC032}" name="Expenses To Be Achieved " dataDxfId="340" dataCellStyle="Comma"/>
    <tableColumn id="25" xr3:uid="{D214AEB0-B4C8-4F07-A781-443E54247A0C}" name="Expenses To Be Achieved%" dataDxfId="339" dataCellStyle="Comma"/>
    <tableColumn id="26" xr3:uid="{EE2C98D2-8FF7-41AB-BAD3-3430CD8FD63E}" name="Monthly Contribution Budget" dataDxfId="338" dataCellStyle="Comma"/>
    <tableColumn id="27" xr3:uid="{EB362648-3C11-4C64-8385-A6DDF755DD75}" name="Monthly Contribution Actuals" dataDxfId="337" dataCellStyle="Comma"/>
    <tableColumn id="28" xr3:uid="{0C760C18-206A-4B4A-ABBC-03614F0A81A1}" name="Monthly Contribution Variance" dataDxfId="336" dataCellStyle="Comma"/>
    <tableColumn id="29" xr3:uid="{418482FA-1F40-4C25-8709-9A4C91B528E2}" name="Monthly Contribution Variance %" dataDxfId="335" dataCellStyle="Comma"/>
    <tableColumn id="30" xr3:uid="{BF17C151-0210-4ACF-845C-B2BD93FE5CB4}" name="Cumulative Contribution Budget" dataDxfId="334" dataCellStyle="Comma"/>
    <tableColumn id="31" xr3:uid="{4BF7360E-5313-4957-B0A3-B49B58231D4E}" name="Cumulative Contribution Actual" dataDxfId="333" dataCellStyle="Comma"/>
    <tableColumn id="32" xr3:uid="{158643E9-78A7-4A5C-B391-483BF0131C00}" name="Cumulative Contribution Variance" dataDxfId="332" dataCellStyle="Comma"/>
    <tableColumn id="33" xr3:uid="{094F1ED0-D5C4-4001-85B5-F5FFB17B90BB}" name="Cumulative Contribution Variance %" dataDxfId="331" dataCellStyle="Comma"/>
    <tableColumn id="34" xr3:uid="{0C788DC2-9259-45FA-98C9-1A2B3BCC92D2}" name="Contribution Total Budget 2026" dataDxfId="330" dataCellStyle="Comma"/>
    <tableColumn id="35" xr3:uid="{53F3EC35-04AD-429E-B8BB-176B7013580D}" name="Contribution To Be Achieved " dataDxfId="329" dataCellStyle="Comma"/>
    <tableColumn id="36" xr3:uid="{8C1DE5A1-6532-44B4-B914-CC949AF46444}" name="Contribution To Be Achieved%" dataDxfId="328" dataCellStyle="Comm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91D3DB-37E4-4F67-829B-D075A20BFC6E}" name="Table136" displayName="Table136" ref="A1:AJ13" totalsRowShown="0" headerRowDxfId="327" dataDxfId="325" headerRowBorderDxfId="326" tableBorderDxfId="324" totalsRowBorderDxfId="323" dataCellStyle="Comma">
  <tableColumns count="36">
    <tableColumn id="1" xr3:uid="{AFE7BCFD-6EB1-488B-B13B-940B0D322A73}" name="Division" dataDxfId="322"/>
    <tableColumn id="2" xr3:uid="{0932028D-CD7B-4D66-9434-58AABAD5525B}" name="Year" dataDxfId="321"/>
    <tableColumn id="3" xr3:uid="{B2930631-9F6C-4A94-8BCC-10D23DBDBAFE}" name="Month" dataDxfId="320"/>
    <tableColumn id="4" xr3:uid="{54286428-6CC8-4521-B524-57CF49F3D6BD}" name="Monthly Revenue Budget" dataDxfId="319" dataCellStyle="Comma"/>
    <tableColumn id="5" xr3:uid="{BA49DEFB-351B-4EB2-9600-E8A62E09852D}" name="Monthly Revenue Actuals" dataDxfId="318" dataCellStyle="Comma"/>
    <tableColumn id="6" xr3:uid="{EEC11AC4-C478-48BF-825E-3BC6A9543B2C}" name="Monthly Revenue Variance" dataDxfId="317" dataCellStyle="Comma"/>
    <tableColumn id="7" xr3:uid="{4250D673-7DB0-4A41-8D6A-DB2CF692B6E0}" name="Monthly Revenue Variance %" dataDxfId="316" dataCellStyle="Comma"/>
    <tableColumn id="8" xr3:uid="{CE554F8B-2E96-4A80-BD1E-23CB36F33524}" name="Cumulative Revenue Budget" dataDxfId="315" dataCellStyle="Comma"/>
    <tableColumn id="9" xr3:uid="{608244FE-DC68-43EF-9FA9-D6DCB88F1BBA}" name="Cumulative Revenue Actuals" dataDxfId="314" dataCellStyle="Comma"/>
    <tableColumn id="10" xr3:uid="{BAACC747-78E0-4A9F-B2AF-BF1ADE9697F6}" name="Cumulative Revenue Variance" dataDxfId="313" dataCellStyle="Comma"/>
    <tableColumn id="11" xr3:uid="{85084A9C-0DD6-47E5-826F-623F5D75811D}" name="Cumulative Revenue Variance %" dataDxfId="312" dataCellStyle="Comma"/>
    <tableColumn id="12" xr3:uid="{68603991-F92D-43DB-959D-41703EE7B2FB}" name="Revenue Total Budget 2026" dataDxfId="311" dataCellStyle="Comma"/>
    <tableColumn id="13" xr3:uid="{B6217822-9A7D-476C-98BC-D5FCB16E1D77}" name="Revenue To Be Achieved " dataDxfId="310" dataCellStyle="Comma"/>
    <tableColumn id="14" xr3:uid="{B7D7D33C-28A3-4F05-A40C-02B2AE96C92F}" name="Revenue To Be Achieved%" dataDxfId="309" dataCellStyle="Comma"/>
    <tableColumn id="15" xr3:uid="{EB049D9F-5FBB-48ED-B758-FC1A2E98A81E}" name="Monthly Expenses Budget" dataDxfId="308" dataCellStyle="Comma"/>
    <tableColumn id="16" xr3:uid="{20FD2032-F5F9-4251-A948-4C0EAF0E413E}" name="Monthly Expenses Actuals" dataDxfId="307" dataCellStyle="Comma"/>
    <tableColumn id="17" xr3:uid="{5BDBEB7A-9A7A-4B08-BD63-9967D77E2024}" name="Monthly Expenses Variance" dataDxfId="306" dataCellStyle="Comma"/>
    <tableColumn id="18" xr3:uid="{1C8FFD27-BC92-4437-B8EF-98B0700CBD2A}" name="Monthly Expenses Variance %" dataDxfId="305" dataCellStyle="Comma"/>
    <tableColumn id="19" xr3:uid="{72FC11D1-EE64-4A57-B93B-C81B067C6A46}" name="Cumulative Expenses Budget" dataDxfId="304" dataCellStyle="Comma"/>
    <tableColumn id="20" xr3:uid="{BF66BEBF-907E-49DC-87D1-2380917D8E79}" name="Cumulative Expenses Actuals" dataDxfId="303" dataCellStyle="Comma"/>
    <tableColumn id="21" xr3:uid="{36B4C72A-BBA6-4D31-A712-2901E1BFDFF5}" name="Cumulative Expenses Variance" dataDxfId="302" dataCellStyle="Comma"/>
    <tableColumn id="22" xr3:uid="{411C34F7-3659-4B66-9437-C861AF497A89}" name="Cumulative Expenses Variance %" dataDxfId="301" dataCellStyle="Comma"/>
    <tableColumn id="23" xr3:uid="{00FBABC5-44A7-4C8B-8885-8664B02AC021}" name="Expenses Total Budget 2026" dataDxfId="300" dataCellStyle="Comma"/>
    <tableColumn id="24" xr3:uid="{DBAFA479-1150-43AF-B92A-33813E3FEA06}" name="Expenses To Be Achieved " dataDxfId="299" dataCellStyle="Comma"/>
    <tableColumn id="25" xr3:uid="{79A720AF-AA58-415D-B0D3-5E5819C71180}" name="Expenses To Be Achieved%" dataDxfId="298" dataCellStyle="Comma"/>
    <tableColumn id="26" xr3:uid="{5A38B8BE-F8CD-48E7-A497-EDA8A8ECA9D2}" name="Monthly Contribution Budget" dataDxfId="297" dataCellStyle="Comma"/>
    <tableColumn id="27" xr3:uid="{C354C855-7733-4AC0-9747-51C64A7A096E}" name="Monthly Contribution Actuals" dataDxfId="296" dataCellStyle="Comma"/>
    <tableColumn id="28" xr3:uid="{99B03994-076C-48AD-A9F2-37606DDDE861}" name="Monthly Contribution Variance" dataDxfId="295" dataCellStyle="Comma"/>
    <tableColumn id="29" xr3:uid="{656AA644-4D6E-4E50-BFFC-9DA49F44E5EB}" name="Monthly Contribution Variance %" dataDxfId="294" dataCellStyle="Comma"/>
    <tableColumn id="30" xr3:uid="{4807DC8C-F43D-4213-BDA1-E04302CA3DEE}" name="Cumulative Contribution Budget" dataDxfId="293" dataCellStyle="Comma"/>
    <tableColumn id="31" xr3:uid="{772D3853-4C79-4D10-BEFE-0DD454F94218}" name="Cumulative Contribution Actuals" dataDxfId="292" dataCellStyle="Comma"/>
    <tableColumn id="32" xr3:uid="{1650F660-B979-4CC4-A649-23128F2C07EF}" name="Cumulative Contribution Variance" dataDxfId="291" dataCellStyle="Comma"/>
    <tableColumn id="33" xr3:uid="{38395881-2041-413C-8544-3B97C246ED23}" name="Cumulative Contribution Variance %" dataDxfId="290" dataCellStyle="Comma"/>
    <tableColumn id="34" xr3:uid="{A2395320-2905-477A-BFA1-E2BFC9A14BE1}" name="Contribution Total Budget 2026" dataDxfId="289" dataCellStyle="Comma"/>
    <tableColumn id="35" xr3:uid="{D7013C74-7738-4769-B18C-967325C45D63}" name="Contribution To Be Achieved " dataDxfId="288" dataCellStyle="Comma"/>
    <tableColumn id="36" xr3:uid="{42AE890C-29BE-40F6-9EDF-BB80E7C904DD}" name="Contribution To Be Achieved%" dataDxfId="287" dataCellStyle="Comm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DA17952-D3A6-455D-8C1F-D65C1DB06F5E}" name="Table1367" displayName="Table1367" ref="A1:AJ13" totalsRowShown="0" headerRowDxfId="286" dataDxfId="284" headerRowBorderDxfId="285" tableBorderDxfId="283" totalsRowBorderDxfId="282" dataCellStyle="Comma">
  <tableColumns count="36">
    <tableColumn id="1" xr3:uid="{A1FDE19A-5C88-435D-9BB9-E6F1D3500527}" name="Division" dataDxfId="281"/>
    <tableColumn id="2" xr3:uid="{083CB6B0-4331-4C65-8F95-7D5054B4DB09}" name="Year" dataDxfId="280"/>
    <tableColumn id="3" xr3:uid="{EB35E576-90CD-4C5F-B802-199045661382}" name="Month" dataDxfId="279"/>
    <tableColumn id="4" xr3:uid="{14DE7C89-475B-4B89-9DF6-3EB49C66651C}" name="Monthly Revenue Budget" dataDxfId="278" dataCellStyle="Comma"/>
    <tableColumn id="5" xr3:uid="{0EE586B0-8469-4A7B-8804-8C641FB0AFCC}" name="Monthly Revenue Actuals" dataDxfId="277" dataCellStyle="Comma"/>
    <tableColumn id="6" xr3:uid="{BBB881CB-AC1A-4926-918F-1258D11BDB05}" name="Monthly Revenue Variance" dataDxfId="276" dataCellStyle="Comma"/>
    <tableColumn id="7" xr3:uid="{E1AE76E6-4F45-49C2-AC83-946C9F8B9216}" name="Monthly Revenue Variance %" dataDxfId="275" dataCellStyle="Comma"/>
    <tableColumn id="8" xr3:uid="{95643928-B0F0-4260-A1AF-E857136EA1C8}" name="Cumulative Revenue Budget" dataDxfId="274" dataCellStyle="Comma"/>
    <tableColumn id="9" xr3:uid="{9F5523C6-FE6C-4725-83C6-8E8D37F2512B}" name="Cumulative Revenue Actuals" dataDxfId="273" dataCellStyle="Comma"/>
    <tableColumn id="10" xr3:uid="{13347A9D-DE09-4776-918A-F28845C4C4E6}" name="Cumulative Revenue Variance" dataDxfId="272" dataCellStyle="Comma"/>
    <tableColumn id="11" xr3:uid="{63391D8C-D8CB-4BCD-95F0-7FF79A6A47CD}" name="Cumulative Revenue Variance %" dataDxfId="271" dataCellStyle="Comma"/>
    <tableColumn id="12" xr3:uid="{05692F68-FF6D-4EA6-AE49-5CFD41D6523B}" name="Revenue Total Budget 2026" dataDxfId="270" dataCellStyle="Comma"/>
    <tableColumn id="13" xr3:uid="{39886E4E-2F9F-46A3-A9CA-837001030E2F}" name="Revenue To Be Achieved " dataDxfId="269" dataCellStyle="Comma"/>
    <tableColumn id="14" xr3:uid="{92C51226-FF81-4C06-B824-4858A5C1BC24}" name="Revenue To Be Achieved%" dataDxfId="268" dataCellStyle="Comma"/>
    <tableColumn id="15" xr3:uid="{2BF24311-C7F7-48E9-9C39-2B9EAA6D4B82}" name="Monthly Expenses Budget" dataDxfId="267" dataCellStyle="Comma"/>
    <tableColumn id="16" xr3:uid="{2F1D65EA-6D76-4378-A780-045BCC7B699F}" name="Monthly Expenses Actuals" dataDxfId="266" dataCellStyle="Comma"/>
    <tableColumn id="17" xr3:uid="{43BC1FCC-7382-4D06-B1F1-40D60CF1629F}" name="Monthly Expenses Variance" dataDxfId="265" dataCellStyle="Comma"/>
    <tableColumn id="18" xr3:uid="{38EC0A82-3C9F-4075-9651-06C35D14158A}" name="Monthly Expenses Variance %" dataDxfId="264" dataCellStyle="Comma"/>
    <tableColumn id="19" xr3:uid="{D150463B-A5A4-444D-9890-AAE457D088A6}" name="Cumulative Expenses Budget" dataDxfId="263" dataCellStyle="Comma"/>
    <tableColumn id="20" xr3:uid="{C7E4B62C-1B58-4053-A9D7-E87B2A0D7020}" name="Cumulative Expenses Actuals" dataDxfId="262" dataCellStyle="Comma"/>
    <tableColumn id="21" xr3:uid="{71714B3D-F945-46BA-8FE5-1C157803AAB3}" name="Cumulative Expenses Variance" dataDxfId="261" dataCellStyle="Comma"/>
    <tableColumn id="22" xr3:uid="{011ADE6D-4EA8-4E3B-967D-B0F651C053DD}" name="Cumulative Expenses Variance %" dataDxfId="260" dataCellStyle="Comma"/>
    <tableColumn id="23" xr3:uid="{D057562C-ECD4-49A3-B239-59FEB1518CCF}" name="Expenses Total Budget 2026" dataDxfId="259" dataCellStyle="Comma"/>
    <tableColumn id="24" xr3:uid="{FB585369-B0DB-4269-8B88-EE228AD5C4DC}" name="Expenses To Be Achieved " dataDxfId="258" dataCellStyle="Comma"/>
    <tableColumn id="25" xr3:uid="{12354EF8-2F2D-4ADA-8A4E-E350CF79F625}" name="Expenses To Be Achieved%" dataDxfId="257" dataCellStyle="Comma"/>
    <tableColumn id="26" xr3:uid="{40B2127E-AD71-4CEC-A29F-50C5CC02214A}" name="Monthly Contribution Budget" dataDxfId="256" dataCellStyle="Comma"/>
    <tableColumn id="27" xr3:uid="{5C8C464B-05B3-4487-BD6F-03F8C9E00DA3}" name="Monthly Contribution Actuals" dataDxfId="255" dataCellStyle="Comma"/>
    <tableColumn id="28" xr3:uid="{D3752C70-2CC5-4D67-87EE-33A76252BAB0}" name="Monthly Contribution Variance" dataDxfId="254" dataCellStyle="Comma"/>
    <tableColumn id="29" xr3:uid="{6A3CDA3B-3958-457D-B41E-05567AF9BC12}" name="Monthly Contribution Variance %" dataDxfId="253" dataCellStyle="Comma"/>
    <tableColumn id="30" xr3:uid="{8C09FD53-E817-4DD1-A0B2-088A57D6CC55}" name="Cumulative Contribution Budget" dataDxfId="252" dataCellStyle="Comma"/>
    <tableColumn id="31" xr3:uid="{4243455A-B39D-4249-9335-2655FD991406}" name="Cumulative Contribution Actuals" dataDxfId="251" dataCellStyle="Comma"/>
    <tableColumn id="32" xr3:uid="{43924270-591B-4E72-810B-568DE39E317D}" name="Cumulative Contribution Variance" dataDxfId="250" dataCellStyle="Comma"/>
    <tableColumn id="33" xr3:uid="{1681CB7A-42E8-402D-A77B-F71D918D83EE}" name="Cumulative Contribution Variance %" dataDxfId="249" dataCellStyle="Comma"/>
    <tableColumn id="34" xr3:uid="{09D4A293-CD43-4149-A880-42121C2A1EB3}" name="Contribution Total Budget 2026" dataDxfId="248" dataCellStyle="Comma"/>
    <tableColumn id="35" xr3:uid="{58EB525E-0CBD-4214-BCBB-825D474DB9F9}" name="Contribution To Be Achieved " dataDxfId="247" dataCellStyle="Comma"/>
    <tableColumn id="36" xr3:uid="{4EDDE503-EC91-4191-8063-8D1455FE06E2}" name="Contribution To Be Achieved%" dataDxfId="246" dataCellStyle="Comm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65A10FA-FAD1-4948-A5C5-C8BEBF1C448C}" name="Table13678" displayName="Table13678" ref="A1:AJ13" totalsRowShown="0" headerRowDxfId="245" dataDxfId="243" headerRowBorderDxfId="244" tableBorderDxfId="242" totalsRowBorderDxfId="241" dataCellStyle="Comma">
  <tableColumns count="36">
    <tableColumn id="1" xr3:uid="{FC1EA0C6-8CC7-4C0C-B574-C24031B0D376}" name="Division" dataDxfId="240"/>
    <tableColumn id="2" xr3:uid="{420C4850-EDD7-4DCC-83AA-93329F3F0738}" name="Year" dataDxfId="239"/>
    <tableColumn id="3" xr3:uid="{7BB0A6B7-97D3-4CCD-8B71-5394F34713A1}" name="Month" dataDxfId="238"/>
    <tableColumn id="4" xr3:uid="{3B919429-CAB7-4DD3-94A1-4A585E57F09A}" name="Monthly Revenue Budget" dataDxfId="237" dataCellStyle="Comma"/>
    <tableColumn id="5" xr3:uid="{B4184C95-465A-4323-8179-939D986F2B9E}" name="Monthly Revenue Actuals" dataDxfId="236" dataCellStyle="Comma"/>
    <tableColumn id="6" xr3:uid="{31F2CB26-3C40-44CE-8262-69D4ED53F02D}" name="Monthly Revenue Variance" dataDxfId="235" dataCellStyle="Comma"/>
    <tableColumn id="7" xr3:uid="{8F8EEF1E-C1A8-4CF6-B7D8-F067C87D99CB}" name="Monthly Revenue Variance %" dataDxfId="234" dataCellStyle="Comma"/>
    <tableColumn id="8" xr3:uid="{E1870525-85E3-475B-A948-E037031A5132}" name="Cumulative Revenue Budget" dataDxfId="233" dataCellStyle="Comma"/>
    <tableColumn id="9" xr3:uid="{08344176-D163-4CEA-8705-7DCAE097E4C9}" name="Cumulative Revenue Actuals" dataDxfId="232" dataCellStyle="Comma"/>
    <tableColumn id="10" xr3:uid="{AF66D098-9B28-42C3-9EFB-5632589CFDE4}" name="Cumulative Revenue Variance" dataDxfId="231" dataCellStyle="Comma"/>
    <tableColumn id="11" xr3:uid="{E33F1A9E-302A-4183-92D1-73614961CA2D}" name="Cumulative Revenue Variance %" dataDxfId="230" dataCellStyle="Comma"/>
    <tableColumn id="12" xr3:uid="{573E408F-A073-4585-8B4F-3219BE0A1258}" name="Revenue Total Budget 2026" dataDxfId="229" dataCellStyle="Comma"/>
    <tableColumn id="13" xr3:uid="{261E36FE-D63B-4889-AEC8-C26AD4E36D3D}" name="Revenue To Be Achieved " dataDxfId="228" dataCellStyle="Comma"/>
    <tableColumn id="14" xr3:uid="{3BB02E73-2AD1-4A25-90A0-6D81D0A3A85B}" name="Revenue To Be Achieved%" dataDxfId="227" dataCellStyle="Comma"/>
    <tableColumn id="15" xr3:uid="{87DAF2C0-8FF8-4906-B89A-E5D65C9AADF8}" name="Monthly Expenses Budget" dataDxfId="226" dataCellStyle="Comma"/>
    <tableColumn id="16" xr3:uid="{2F97A5B0-EB44-44CF-9B73-C2F57A90D9F0}" name="Monthly Expenses Actuals" dataDxfId="225" dataCellStyle="Comma"/>
    <tableColumn id="17" xr3:uid="{B3F4A998-A44F-4C83-A304-10F85895BC60}" name="Monthly Expenses Variance" dataDxfId="224" dataCellStyle="Comma"/>
    <tableColumn id="18" xr3:uid="{8BB18213-7DFD-4EF7-997F-033BE83868BB}" name="Monthly Expenses Variance %" dataDxfId="223" dataCellStyle="Comma"/>
    <tableColumn id="19" xr3:uid="{5C17B96A-8056-4109-AC47-52DD14217FE0}" name="Cumulative Expenses Budget" dataDxfId="222" dataCellStyle="Comma"/>
    <tableColumn id="20" xr3:uid="{BB2E01D1-4B7A-4EFF-A7E3-4012744551FC}" name="Cumulative Expenses Actuals" dataDxfId="221" dataCellStyle="Comma"/>
    <tableColumn id="21" xr3:uid="{E8676188-7BC2-4B27-90F7-3C8915BD3E3D}" name="Cumulative Expenses Variance" dataDxfId="220" dataCellStyle="Comma"/>
    <tableColumn id="22" xr3:uid="{C68AC477-7A59-4808-8217-4037C634A897}" name="Cumulative Expenses Variance %" dataDxfId="219" dataCellStyle="Comma"/>
    <tableColumn id="23" xr3:uid="{B533AFF8-B149-44C4-BEED-6E7195E35F16}" name="Expenses Total Budget 2026" dataDxfId="218" dataCellStyle="Comma"/>
    <tableColumn id="24" xr3:uid="{F2FC1B69-6E8F-4558-8AD2-8D6A31106EBC}" name="Expenses To Be Achieved " dataDxfId="217" dataCellStyle="Comma"/>
    <tableColumn id="25" xr3:uid="{DA3640B3-F7C0-482E-AF83-02B8E8B499E8}" name="Expenses To Be Achieved%" dataDxfId="216" dataCellStyle="Comma"/>
    <tableColumn id="26" xr3:uid="{DB8636BA-CD85-4069-8F62-9E87F88A410D}" name="Monthly Contribution Budget" dataDxfId="215" dataCellStyle="Comma"/>
    <tableColumn id="27" xr3:uid="{47205F79-9880-403B-A12F-8FA1CC4522F6}" name="Monthly Contribution Actuals" dataDxfId="214" dataCellStyle="Comma"/>
    <tableColumn id="28" xr3:uid="{4FCE8F8F-7B05-4200-BB53-4DCDC5A893CE}" name="Monthly Contribution Variance" dataDxfId="213" dataCellStyle="Comma"/>
    <tableColumn id="29" xr3:uid="{E1DF02B0-5648-4335-B158-63F17EB4F387}" name="Monthly Contribution Variance %" dataDxfId="212" dataCellStyle="Comma"/>
    <tableColumn id="30" xr3:uid="{8495ABBA-4D23-4B5D-B575-301D2F983528}" name="Cumulative Contribution Budget" dataDxfId="211" dataCellStyle="Comma"/>
    <tableColumn id="31" xr3:uid="{B2FCCA8A-035C-4CD1-8DA7-8078ECE754E1}" name="Cumulative Contribution Actuals" dataDxfId="210" dataCellStyle="Comma"/>
    <tableColumn id="32" xr3:uid="{B43CD4BC-58B4-4E4D-90A7-4B8CC76FB23C}" name="Cumulative Contribution Variance" dataDxfId="209" dataCellStyle="Comma"/>
    <tableColumn id="33" xr3:uid="{B57E7432-65FE-41BD-9149-D4F287D744A0}" name="Cumulative Contribution Variance %" dataDxfId="208" dataCellStyle="Comma"/>
    <tableColumn id="34" xr3:uid="{B74E013A-0A2F-405E-8114-D88B4982034B}" name="Contribution Total Budget 2026" dataDxfId="207" dataCellStyle="Comma"/>
    <tableColumn id="35" xr3:uid="{6977D62E-B382-4084-BE47-7A5B68924F98}" name="Contribution To Be Achieved " dataDxfId="206" dataCellStyle="Comma"/>
    <tableColumn id="36" xr3:uid="{C9C3E45B-88E1-4922-9FE3-B05DA333A274}" name="Contribution To Be Achieved%" dataDxfId="205" dataCellStyle="Comm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4C714E3-769B-4424-ACBF-322A274A17B4}" name="Table136789" displayName="Table136789" ref="A1:AJ13" totalsRowShown="0" headerRowDxfId="204" dataDxfId="202" headerRowBorderDxfId="203" tableBorderDxfId="201" totalsRowBorderDxfId="200" dataCellStyle="Comma">
  <tableColumns count="36">
    <tableColumn id="1" xr3:uid="{F7640751-4E6B-4DCD-AE11-D561911F77A6}" name="Division" dataDxfId="199"/>
    <tableColumn id="2" xr3:uid="{4B2E4CDA-2D4B-4823-920C-7A8FDB2CD3EB}" name="Year" dataDxfId="198"/>
    <tableColumn id="3" xr3:uid="{39BDFF96-503F-4714-A28C-6FAD6B1BD9C4}" name="Month" dataDxfId="197"/>
    <tableColumn id="4" xr3:uid="{D023F460-A7DA-46C7-819E-51F6EDAE31B3}" name="Monthly Revenue Budget" dataDxfId="196" dataCellStyle="Comma"/>
    <tableColumn id="5" xr3:uid="{886A75C2-AB0F-4149-A3FC-67A57AFE1AC5}" name="Monthly Revenue Actuals" dataDxfId="195" dataCellStyle="Comma"/>
    <tableColumn id="6" xr3:uid="{3A8DBE65-88FF-4127-B945-9F41C317876A}" name="Monthly Revenue Variance" dataDxfId="194" dataCellStyle="Comma"/>
    <tableColumn id="7" xr3:uid="{926153EB-6BEC-4D3B-8A85-40894E428E3E}" name="Monthly Revenue Variance %" dataDxfId="193" dataCellStyle="Comma"/>
    <tableColumn id="8" xr3:uid="{B2FB62E2-E66C-4082-BF1A-3A03203D6D09}" name="Cumulative Revenue Budget" dataDxfId="192" dataCellStyle="Comma"/>
    <tableColumn id="9" xr3:uid="{82D86BB5-49E8-42A7-9E69-9B545C2C17A3}" name="Cumulative Revenue Actuals" dataDxfId="191" dataCellStyle="Comma"/>
    <tableColumn id="10" xr3:uid="{55E7D77D-5873-41EE-9444-EFC4F5EE1EC6}" name="Cumulative Revenue Variance" dataDxfId="190" dataCellStyle="Comma"/>
    <tableColumn id="11" xr3:uid="{79891889-4B54-4426-95F2-80AB0AF033C9}" name="Cumulative Revenue Variance %" dataDxfId="189" dataCellStyle="Comma"/>
    <tableColumn id="12" xr3:uid="{0EBBD5C0-154C-4C38-B5B7-A5CC49601AD9}" name="Revenue Total Budget 2026" dataDxfId="188" dataCellStyle="Comma"/>
    <tableColumn id="13" xr3:uid="{8B669368-E47F-49FF-94BE-26B6A612189D}" name="Revenue To Be Achieved " dataDxfId="187" dataCellStyle="Comma"/>
    <tableColumn id="14" xr3:uid="{88645312-04B2-4DDC-9320-3CDF1FBC6482}" name="Revenue To Be Achieved%" dataDxfId="186" dataCellStyle="Comma"/>
    <tableColumn id="15" xr3:uid="{FE52F8D6-D347-43FA-BF7B-72A029F1DB50}" name="Monthly Expenses Budget" dataDxfId="185" dataCellStyle="Comma"/>
    <tableColumn id="16" xr3:uid="{61CDB7F0-7CBD-4C93-9FCF-E5D8104B1CCB}" name="Monthly Expenses Actuals" dataDxfId="184" dataCellStyle="Comma"/>
    <tableColumn id="17" xr3:uid="{4745E6E8-3876-4172-8DE0-2B64DBBA1CAC}" name="Monthly Expenses Variance" dataDxfId="183" dataCellStyle="Comma"/>
    <tableColumn id="18" xr3:uid="{38E9DBBD-3755-4F2D-BF7A-2FC91B2A87AE}" name="Monthly Expenses Variance %" dataDxfId="182" dataCellStyle="Comma"/>
    <tableColumn id="19" xr3:uid="{AC873E54-07BD-419D-AA74-334BA0A82D94}" name="Cumulative Expenses Budget" dataDxfId="181" dataCellStyle="Comma"/>
    <tableColumn id="20" xr3:uid="{1BB1106D-1549-4C67-AC7A-27FF5C92129A}" name="Cumulative Expenses Actuals" dataDxfId="180" dataCellStyle="Comma"/>
    <tableColumn id="21" xr3:uid="{CDD5CD61-BCC8-4F6C-888D-9B4C4633B37B}" name="Cumulative Expenses Variance" dataDxfId="179" dataCellStyle="Comma"/>
    <tableColumn id="22" xr3:uid="{FE4E3176-8A1E-44B6-BC78-630AF643F6DE}" name="Cumulative Expenses Variance %" dataDxfId="178" dataCellStyle="Comma"/>
    <tableColumn id="23" xr3:uid="{2CF4D642-A317-467D-A05E-3429E1A8F251}" name="Expenses Total Budget 2026" dataDxfId="177" dataCellStyle="Comma"/>
    <tableColumn id="24" xr3:uid="{EED1E022-7507-4272-8FC8-04B1662DA0DF}" name="Expenses To Be Achieved " dataDxfId="176" dataCellStyle="Comma"/>
    <tableColumn id="25" xr3:uid="{7A89D3E6-A262-43ED-B391-610F5DFE441C}" name="Expenses To Be Achieved%" dataDxfId="175" dataCellStyle="Comma"/>
    <tableColumn id="26" xr3:uid="{A53EC946-192D-4068-A89A-159A7C6A80EB}" name="Monthly Contribution Budget" dataDxfId="174" dataCellStyle="Comma"/>
    <tableColumn id="27" xr3:uid="{FABAD17C-D5A8-4D49-BCBF-E79EDB69BDBA}" name="Monthly Contribution Actuals" dataDxfId="173" dataCellStyle="Comma"/>
    <tableColumn id="28" xr3:uid="{9C82BB81-A70A-4A1F-864C-E33E35C4A523}" name="Monthly Contribution Variance" dataDxfId="172" dataCellStyle="Comma"/>
    <tableColumn id="29" xr3:uid="{F7D77664-D13C-49D3-AA44-86BCC52DA3B3}" name="Monthly Contribution Variance %" dataDxfId="171" dataCellStyle="Comma"/>
    <tableColumn id="30" xr3:uid="{1698767D-5F54-40DF-AC8C-D0E639E25139}" name="Cumulative Contribution Budget" dataDxfId="170" dataCellStyle="Comma"/>
    <tableColumn id="31" xr3:uid="{4C9C6573-5DBD-4D3F-B69C-5055F2F4001E}" name="Cumulative Contribution Actuals" dataDxfId="169" dataCellStyle="Comma"/>
    <tableColumn id="32" xr3:uid="{39FD7DA8-C89A-4451-A40B-FB738C36D641}" name="Cumulative Contribution Variance" dataDxfId="168" dataCellStyle="Comma"/>
    <tableColumn id="33" xr3:uid="{66989ECD-7D5F-4556-A67C-50DEB94F1C42}" name="Cumulative Contribution Variance %" dataDxfId="167" dataCellStyle="Comma"/>
    <tableColumn id="34" xr3:uid="{B4594C07-3D38-4222-ACFC-370F90D7E638}" name="Contribution Total Budget 2026" dataDxfId="166" dataCellStyle="Comma"/>
    <tableColumn id="35" xr3:uid="{BFA89C2D-2A71-47F2-A23C-F2216F3BD8AA}" name="Contribution To Be Achieved " dataDxfId="165" dataCellStyle="Comma"/>
    <tableColumn id="36" xr3:uid="{70179B7C-B325-4ADE-97DE-58EC66EC399E}" name="Contribution To Be Achieved%" dataDxfId="164" dataCellStyle="Comm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24CEF7B-01C4-40B7-9B4A-89A4B17905FE}" name="Table13678910" displayName="Table13678910" ref="A1:AJ13" totalsRowShown="0" headerRowDxfId="163" dataDxfId="161" headerRowBorderDxfId="162" tableBorderDxfId="160" totalsRowBorderDxfId="159" dataCellStyle="Comma">
  <tableColumns count="36">
    <tableColumn id="1" xr3:uid="{633872FF-C440-4005-8621-F0B82F54D483}" name="Division" dataDxfId="158"/>
    <tableColumn id="2" xr3:uid="{A505DE1A-B435-4D4C-94D4-279701F99E52}" name="Year" dataDxfId="157"/>
    <tableColumn id="3" xr3:uid="{521B720C-3321-4CCC-BC58-C4BCD1C3C676}" name="Month" dataDxfId="156"/>
    <tableColumn id="4" xr3:uid="{6E27ED59-CCF3-4FDD-AE04-5D3F24A8071F}" name="Monthly Revenue Budget" dataDxfId="155" dataCellStyle="Comma"/>
    <tableColumn id="5" xr3:uid="{57EE368D-07B2-48D8-9358-550C6C60C458}" name="Monthly Revenue Actuals" dataDxfId="154" dataCellStyle="Comma"/>
    <tableColumn id="6" xr3:uid="{A5A44FB4-9F14-4CE7-85CE-1523DEC49A21}" name="Monthly Revenue Variance" dataDxfId="153" dataCellStyle="Comma"/>
    <tableColumn id="7" xr3:uid="{10F1D77C-7112-4FDF-BD06-4D89DC0C0A07}" name="Monthly Revenue Variance %" dataDxfId="152" dataCellStyle="Comma"/>
    <tableColumn id="8" xr3:uid="{EFC5B8B0-2A21-4ECB-820B-18338D9DD24A}" name="Cumulative Revenue Budget" dataDxfId="151" dataCellStyle="Comma"/>
    <tableColumn id="9" xr3:uid="{136FBC72-6B38-4F74-936A-921BDF56268D}" name="Cumulative Revenue Actuals" dataDxfId="150" dataCellStyle="Comma"/>
    <tableColumn id="10" xr3:uid="{6EB00028-6D69-498A-9F5B-B5E51C1C12ED}" name="Cumulative Revenue Variance" dataDxfId="149" dataCellStyle="Comma"/>
    <tableColumn id="11" xr3:uid="{7BACF57F-879D-4AB2-B16C-18F4D6872FAC}" name="Cumulative Revenue Variance %" dataDxfId="148" dataCellStyle="Comma"/>
    <tableColumn id="12" xr3:uid="{A1A44A57-3F0D-4315-8286-EB623895E204}" name="Revenue Total Budget 2026" dataDxfId="147" dataCellStyle="Comma"/>
    <tableColumn id="13" xr3:uid="{83184DA5-66E8-4F8A-993F-DE163F452778}" name="Revenue To Be Achieved " dataDxfId="146" dataCellStyle="Comma"/>
    <tableColumn id="14" xr3:uid="{6A24A5AC-9F41-4B73-9E7D-68A807145809}" name="Revenue To Be Achieved%" dataDxfId="145" dataCellStyle="Comma"/>
    <tableColumn id="15" xr3:uid="{7B74D4CC-09C0-4E28-B371-91AA8AB716FE}" name="Monthly Expenses Budget" dataDxfId="144" dataCellStyle="Comma"/>
    <tableColumn id="16" xr3:uid="{7D7BBF82-50E2-4D30-B63D-6F26E7A947DD}" name="Monthly Expenses Actuals" dataDxfId="143" dataCellStyle="Comma"/>
    <tableColumn id="17" xr3:uid="{B82DBA32-3B51-454A-B3D6-300A99D45359}" name="Monthly Expenses Variance" dataDxfId="142" dataCellStyle="Comma"/>
    <tableColumn id="18" xr3:uid="{AE1BCCCE-3B99-4DF5-A77A-B4A013B90F2D}" name="Monthly Expenses Variance %" dataDxfId="141" dataCellStyle="Comma"/>
    <tableColumn id="19" xr3:uid="{F239A377-8D97-43D2-AD00-E57E7DBF17EE}" name="Cumulative Expenses Budget" dataDxfId="140" dataCellStyle="Comma"/>
    <tableColumn id="20" xr3:uid="{C0954086-3D81-4E86-B8C4-DD8E230690E9}" name="Cumulative Expenses Actuals" dataDxfId="139" dataCellStyle="Comma"/>
    <tableColumn id="21" xr3:uid="{943A3986-3D52-4D43-918E-603C8A185591}" name="Cumulative Expenses Variance" dataDxfId="138" dataCellStyle="Comma"/>
    <tableColumn id="22" xr3:uid="{50697619-AE80-490A-BC87-F0169765AA75}" name="Cumulative Expenses Variance %" dataDxfId="137" dataCellStyle="Comma"/>
    <tableColumn id="23" xr3:uid="{BF44A47A-395E-429B-93E4-78FB9068FAFD}" name="Expenses Total Budget 2026" dataDxfId="136" dataCellStyle="Comma"/>
    <tableColumn id="24" xr3:uid="{28FD62C1-9ED9-47AE-A04B-A518477662A5}" name="Expenses To Be Achieved " dataDxfId="135" dataCellStyle="Comma"/>
    <tableColumn id="25" xr3:uid="{4521EB63-7B2B-4D17-A06C-9074320F054F}" name="Expenses To Be Achieved%" dataDxfId="134" dataCellStyle="Comma"/>
    <tableColumn id="26" xr3:uid="{9F7B8545-32E6-431E-94FB-2C564405A247}" name="Monthly Contribution Budget" dataDxfId="133" dataCellStyle="Comma"/>
    <tableColumn id="27" xr3:uid="{6636669C-DE53-4145-B8A3-1CC398A8C6F6}" name="Monthly Contribution Actuals" dataDxfId="132" dataCellStyle="Comma"/>
    <tableColumn id="28" xr3:uid="{76930810-AA4A-44A2-A702-C5C3999A6BB0}" name="Monthly Contribution Variance" dataDxfId="131" dataCellStyle="Comma"/>
    <tableColumn id="29" xr3:uid="{130DB9D9-89F7-4B18-ACDC-9D7ACCD04DB4}" name="Monthly Contribution Variance %" dataDxfId="130" dataCellStyle="Comma"/>
    <tableColumn id="30" xr3:uid="{45B3AF31-395A-4E3F-BA6E-216743C6F799}" name="Cumulative Contribution Budget" dataDxfId="129" dataCellStyle="Comma"/>
    <tableColumn id="31" xr3:uid="{1055BDEA-A428-476C-8B4B-55724A090B20}" name="Cumulative Contribution Actuals" dataDxfId="128" dataCellStyle="Comma"/>
    <tableColumn id="32" xr3:uid="{5EBB3C77-4FE6-4C85-80C2-68589464B757}" name="Cumulative Contribution Variance" dataDxfId="127" dataCellStyle="Comma"/>
    <tableColumn id="33" xr3:uid="{3565BE43-4234-448E-BD67-2C47872D5398}" name="Cumulative Contribution Variance %" dataDxfId="126" dataCellStyle="Comma"/>
    <tableColumn id="34" xr3:uid="{AA86DFB6-7DD8-4B94-8433-2B1E9370AC25}" name="Contribution Total Budget 2026" dataDxfId="125" dataCellStyle="Comma"/>
    <tableColumn id="35" xr3:uid="{A3B3A225-E2DA-46D6-95E5-C612B22C49C0}" name="Contribution To Be Achieved " dataDxfId="124" dataCellStyle="Comma"/>
    <tableColumn id="36" xr3:uid="{A2FE2DB8-598F-431F-9249-FD96560BA02C}" name="Contribution To Be Achieved%" dataDxfId="123" dataCellStyle="Comm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6D6C5A9-6806-4E26-BAA1-57019AAA6BB9}" name="Table1367891011" displayName="Table1367891011" ref="A1:AJ13" totalsRowShown="0" headerRowDxfId="122" dataDxfId="120" headerRowBorderDxfId="121" tableBorderDxfId="119" totalsRowBorderDxfId="118" dataCellStyle="Comma">
  <tableColumns count="36">
    <tableColumn id="1" xr3:uid="{D348CEDC-6CF7-4D4F-8734-C2F6034AED9D}" name="Division" dataDxfId="117"/>
    <tableColumn id="2" xr3:uid="{915D0B3C-CD92-4B30-8FF2-52AA4B2E47E7}" name="Year" dataDxfId="116"/>
    <tableColumn id="3" xr3:uid="{93030825-405E-4674-8FAE-56854427A3DE}" name="Month" dataDxfId="115"/>
    <tableColumn id="4" xr3:uid="{FF7FA610-81B8-4226-A7B4-0459FCE3336D}" name="Monthly Revenue Budget" dataDxfId="114" dataCellStyle="Comma"/>
    <tableColumn id="5" xr3:uid="{587402DC-EC15-43AB-92B1-79B2ED488ACD}" name="Monthly Revenue Actuals" dataDxfId="113" dataCellStyle="Comma"/>
    <tableColumn id="6" xr3:uid="{29CF5287-6F41-4EBA-8765-21EB53DF4BC9}" name="Monthly Revenue Variance" dataDxfId="112" dataCellStyle="Comma"/>
    <tableColumn id="7" xr3:uid="{49B1249C-724A-4B2A-8F8B-897F57C6C210}" name="Monthly Revenue Variance %" dataDxfId="111" dataCellStyle="Comma"/>
    <tableColumn id="8" xr3:uid="{9A8FC25E-C527-4F04-99C8-769AA29F7C35}" name="Cumulative Revenue Budget" dataDxfId="110" dataCellStyle="Comma"/>
    <tableColumn id="9" xr3:uid="{86FB8B09-AC24-40B1-BD3F-8BD41C6882DC}" name="Cumulative Revenue Actuals" dataDxfId="109" dataCellStyle="Comma"/>
    <tableColumn id="10" xr3:uid="{809E24FE-22C1-4A79-84A6-F9D10E9C7B6C}" name="Cumulative Revenue Variance" dataDxfId="108" dataCellStyle="Comma"/>
    <tableColumn id="11" xr3:uid="{C1F1D86C-61F2-4C07-86F1-D24A4F7F92F1}" name="Cumulative Revenue Variance %" dataDxfId="107" dataCellStyle="Comma"/>
    <tableColumn id="12" xr3:uid="{FEF9D023-939D-4318-9B18-4E765B19C4AA}" name="Revenue Total Budget 2026" dataDxfId="106" dataCellStyle="Comma"/>
    <tableColumn id="13" xr3:uid="{0DF4E6C2-66EB-46C4-AB1B-B95BF9231779}" name="Revenue To Be Achieved " dataDxfId="105" dataCellStyle="Comma"/>
    <tableColumn id="14" xr3:uid="{04C29CA0-41C7-4BC0-9737-81D9EB3E3404}" name="Revenue To Be Achieved%" dataDxfId="104" dataCellStyle="Comma"/>
    <tableColumn id="15" xr3:uid="{EEC6F6E7-6D04-417E-B98B-99EEB23C8C20}" name="Monthly Expenses Budget" dataDxfId="103" dataCellStyle="Comma"/>
    <tableColumn id="16" xr3:uid="{7046AFC9-B51E-41DA-AE84-7089137BD6BA}" name="Monthly Expenses Actuals" dataDxfId="102" dataCellStyle="Comma"/>
    <tableColumn id="17" xr3:uid="{921B9748-9C5B-4476-BEC4-B8B1B7B6D0AB}" name="Monthly Expenses Variance" dataDxfId="101" dataCellStyle="Comma"/>
    <tableColumn id="18" xr3:uid="{C0109C5B-5AB4-49A8-B14E-8B807D9283CE}" name="Monthly Expenses Variance %" dataDxfId="100" dataCellStyle="Comma"/>
    <tableColumn id="19" xr3:uid="{2A471E70-AABC-4B94-8B0F-5F73CCFEBE96}" name="Cumulative Expenses Budget" dataDxfId="99" dataCellStyle="Comma"/>
    <tableColumn id="20" xr3:uid="{40E3E19E-B8A2-4F8B-BE6B-618D1DA2E493}" name="Cumulative Expenses Actuals" dataDxfId="98" dataCellStyle="Comma"/>
    <tableColumn id="21" xr3:uid="{F9073519-4E94-49D1-AD88-040E604DEF2E}" name="Cumulative Expenses Variance" dataDxfId="97" dataCellStyle="Comma"/>
    <tableColumn id="22" xr3:uid="{01BF53E0-36EA-44C3-BB2E-6163CBE487E4}" name="Cumulative Expenses Variance %" dataDxfId="96" dataCellStyle="Comma"/>
    <tableColumn id="23" xr3:uid="{BB04A10D-8338-4C83-8725-38B692E07052}" name="Expenses Total Budget 2026" dataDxfId="95" dataCellStyle="Comma"/>
    <tableColumn id="24" xr3:uid="{3B99CA46-7A23-48D7-9CA7-BE307A165F36}" name="Expenses To Be Achieved " dataDxfId="94" dataCellStyle="Comma"/>
    <tableColumn id="25" xr3:uid="{48D33713-20D3-49AA-B4EB-3AF45C291205}" name="Expenses To Be Achieved%" dataDxfId="93" dataCellStyle="Comma"/>
    <tableColumn id="26" xr3:uid="{0658464A-65CD-4668-9B8E-733FD533FFA4}" name="Monthly Contribution Budget" dataDxfId="92" dataCellStyle="Comma"/>
    <tableColumn id="27" xr3:uid="{00CF33FC-7BC7-4004-9470-F82542149441}" name="Monthly Contribution Actuals" dataDxfId="91" dataCellStyle="Comma"/>
    <tableColumn id="28" xr3:uid="{5471B5F8-3F8C-4B57-B310-BBC708CDB832}" name="Monthly Contribution Variance" dataDxfId="90" dataCellStyle="Comma"/>
    <tableColumn id="29" xr3:uid="{92D602F6-2FBD-4721-980F-BE8BF36509CB}" name="Monthly Contribution Variance %" dataDxfId="89" dataCellStyle="Comma"/>
    <tableColumn id="30" xr3:uid="{F727441D-4F09-4C45-93CD-04FC9ECF64A3}" name="Cumulative Contribution Budget" dataDxfId="88" dataCellStyle="Comma"/>
    <tableColumn id="31" xr3:uid="{22FBABBA-BE6A-4781-8B0B-8A59BA14912A}" name="Cumulative Contribution Actuals" dataDxfId="87" dataCellStyle="Comma"/>
    <tableColumn id="32" xr3:uid="{8D19496D-1A10-4268-91D2-164E9A946533}" name="Cumulative Contribution Variance" dataDxfId="86" dataCellStyle="Comma"/>
    <tableColumn id="33" xr3:uid="{8501E061-1FDA-43E6-A0FE-52390843C3CD}" name="Cumulative Contribution Variance %" dataDxfId="85" dataCellStyle="Comma"/>
    <tableColumn id="34" xr3:uid="{D90CA1B3-0358-4218-B1EE-653C340A9480}" name="Contribution Total Budget 2026" dataDxfId="84" dataCellStyle="Comma"/>
    <tableColumn id="35" xr3:uid="{EC5FEE54-13AC-49CC-94BC-27197D4B20F0}" name="Contribution To Be Achieved " dataDxfId="83" dataCellStyle="Comma"/>
    <tableColumn id="36" xr3:uid="{C638BC8B-6305-4F20-877F-6E48CBD42B21}" name="Contribution To Be Achieved%" dataDxfId="82" dataCellStyle="Comm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75178C2-56F7-45CE-B451-FEEEE059817D}" name="Table136789101112" displayName="Table136789101112" ref="A1:AJ13" totalsRowShown="0" headerRowDxfId="81" dataDxfId="79" headerRowBorderDxfId="80" tableBorderDxfId="78" totalsRowBorderDxfId="77" dataCellStyle="Comma">
  <tableColumns count="36">
    <tableColumn id="1" xr3:uid="{FC6A3146-1101-466C-9E63-629E0C3230A3}" name="Division" dataDxfId="76"/>
    <tableColumn id="2" xr3:uid="{311C6520-7E93-4E87-BEF3-723F904585ED}" name="Year" dataDxfId="75"/>
    <tableColumn id="3" xr3:uid="{0A11FE4D-791E-4449-9801-36FA256E31F0}" name="Month" dataDxfId="74"/>
    <tableColumn id="4" xr3:uid="{6AF3751B-73E9-4F4C-86F0-DD7450A5227D}" name="Monthly Revenue Budget" dataDxfId="73" dataCellStyle="Comma"/>
    <tableColumn id="5" xr3:uid="{78137452-2E68-4B30-A269-CD2D2D4CFEA0}" name="Monthly Revenue Actuals" dataDxfId="72" dataCellStyle="Comma"/>
    <tableColumn id="6" xr3:uid="{16B5C738-CBA5-4BB4-856D-98028C487B45}" name="Monthly Revenue Variance" dataDxfId="71" dataCellStyle="Comma"/>
    <tableColumn id="7" xr3:uid="{AE81367E-3730-4640-9807-67D6A99A5BCA}" name="Monthly Revenue Variance %" dataDxfId="70" dataCellStyle="Comma"/>
    <tableColumn id="8" xr3:uid="{90E440E4-0830-4D69-AF2C-BEAD5FE20A8F}" name="Cumulative Revenue Budget" dataDxfId="69" dataCellStyle="Comma"/>
    <tableColumn id="9" xr3:uid="{DF909F12-9E21-4A62-9536-BC59C2C6155C}" name="Cumulative Revenue Actuals" dataDxfId="68" dataCellStyle="Comma"/>
    <tableColumn id="10" xr3:uid="{489E97E6-4B38-41E4-A4E7-C3EC9D0865C6}" name="Cumulative Revenue Variance" dataDxfId="67" dataCellStyle="Comma"/>
    <tableColumn id="11" xr3:uid="{7AA9B226-DAF6-47EC-BB10-846B29A63E29}" name="Cumulative Revenue Variance %" dataDxfId="66" dataCellStyle="Comma"/>
    <tableColumn id="12" xr3:uid="{CB772014-D7BD-4027-B94F-F18654616EAD}" name="Revenue Total Budget 2026" dataDxfId="65" dataCellStyle="Comma"/>
    <tableColumn id="13" xr3:uid="{63E91081-544C-4E12-8253-C72F77BD3A57}" name="Revenue To Be Achieved " dataDxfId="64" dataCellStyle="Comma"/>
    <tableColumn id="14" xr3:uid="{72A077A5-891A-4240-8EA3-0DB472A16EE3}" name="Revenue To Be Achieved%" dataDxfId="63" dataCellStyle="Comma"/>
    <tableColumn id="15" xr3:uid="{05E2C5F1-16F8-4F47-A86A-56D569BF36D1}" name="Monthly Expenses Budget" dataDxfId="62" dataCellStyle="Comma"/>
    <tableColumn id="16" xr3:uid="{F3AAE7B7-35FA-4299-B280-BD0B22FA5C01}" name="Monthly Expenses Actuals" dataDxfId="61" dataCellStyle="Comma"/>
    <tableColumn id="17" xr3:uid="{09864622-F6EA-41F6-9DD0-8F8DAAC36940}" name="Monthly Expenses Variance" dataDxfId="60" dataCellStyle="Comma"/>
    <tableColumn id="18" xr3:uid="{478138EE-C3F0-4776-BFCA-75450F62C031}" name="Monthly Expenses Variance %" dataDxfId="59" dataCellStyle="Comma"/>
    <tableColumn id="19" xr3:uid="{251009F6-2364-438A-B172-A93A9852AC58}" name="Cumulative Expenses Budget" dataDxfId="58" dataCellStyle="Comma"/>
    <tableColumn id="20" xr3:uid="{9F8E4328-E1D6-44FD-B50F-93D2B7F329B9}" name="Cumulative Expenses Actuals" dataDxfId="57" dataCellStyle="Comma"/>
    <tableColumn id="21" xr3:uid="{697D71C9-DB8D-4D62-9FE9-6D1C79B7CA4F}" name="Cumulative Expenses Variance" dataDxfId="56" dataCellStyle="Comma"/>
    <tableColumn id="22" xr3:uid="{5A32DC63-5CFF-4242-9762-6A9605D1DFD8}" name="Cumulative Expenses Variance %" dataDxfId="55" dataCellStyle="Comma"/>
    <tableColumn id="23" xr3:uid="{B41EEA92-D96C-4AFA-B5F9-6E94F0CEDA4F}" name="Expenses Total Budget 2026" dataDxfId="54" dataCellStyle="Comma"/>
    <tableColumn id="24" xr3:uid="{EB4B24D6-68B3-492D-945C-3AFC4E4937E0}" name="Expenses To Be Achieved " dataDxfId="53" dataCellStyle="Comma"/>
    <tableColumn id="25" xr3:uid="{0FBF3FCB-2183-41C8-BC16-42F7D2C8D004}" name="Expenses To Be Achieved%" dataDxfId="52" dataCellStyle="Comma"/>
    <tableColumn id="26" xr3:uid="{ED48EAEE-8E67-4C72-BE07-496AB29A38EF}" name="Monthly Contribution Budget" dataDxfId="51" dataCellStyle="Comma"/>
    <tableColumn id="27" xr3:uid="{AC17600B-755F-4E3A-AE61-1D832E2E4BA3}" name="Monthly Contribution Actuals" dataDxfId="50" dataCellStyle="Comma"/>
    <tableColumn id="28" xr3:uid="{AFA7BA10-D935-4A50-9154-F998C4145EAC}" name="Monthly Contribution Variance" dataDxfId="49" dataCellStyle="Comma"/>
    <tableColumn id="29" xr3:uid="{25379D37-EEBC-4871-B83C-01E22CB48BBA}" name="Monthly Contribution Variance %" dataDxfId="48" dataCellStyle="Comma"/>
    <tableColumn id="30" xr3:uid="{21D111BB-7B74-4F3C-8A0E-30F0FCAD1EB3}" name="Cumulative Contribution Budget" dataDxfId="47" dataCellStyle="Comma"/>
    <tableColumn id="31" xr3:uid="{FC5BD936-EC42-472E-8EBF-489C0186D9E1}" name="Cumulative Contribution Actuals" dataDxfId="46" dataCellStyle="Comma"/>
    <tableColumn id="32" xr3:uid="{B4C776C1-2BF3-44CF-A97A-3365B8859C55}" name="Cumulative Contribution Variance" dataDxfId="45" dataCellStyle="Comma"/>
    <tableColumn id="33" xr3:uid="{0FEFADF0-C1A7-4418-8DED-66E33258E72D}" name="Cumulative Contribution Variance %" dataDxfId="44" dataCellStyle="Comma"/>
    <tableColumn id="34" xr3:uid="{EAA36FF0-7A68-4D40-843D-247CD39A1D33}" name="Contribution Total Budget 2026" dataDxfId="43" dataCellStyle="Comma"/>
    <tableColumn id="35" xr3:uid="{D6AB58E3-3E6A-46DF-8E29-C16CEEDCAD36}" name="Contribution To Be Achieved " dataDxfId="42" dataCellStyle="Comma"/>
    <tableColumn id="36" xr3:uid="{74C7A3B4-6EF7-470C-940F-F16026492065}" name="Contribution To Be Achieved%" dataDxfId="41" dataCellStyle="Comm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F6B19F7-EE42-4465-ACF6-1017914EB7A9}" name="Table13678910111213" displayName="Table13678910111213" ref="A1:AJ13" totalsRowShown="0" headerRowDxfId="40" dataDxfId="38" headerRowBorderDxfId="39" tableBorderDxfId="37" totalsRowBorderDxfId="36" dataCellStyle="Comma">
  <tableColumns count="36">
    <tableColumn id="1" xr3:uid="{5848C675-063F-4B55-BFE4-78E84D89436D}" name="Division" dataDxfId="35"/>
    <tableColumn id="2" xr3:uid="{54A211B2-3519-419C-A8EA-8B05FFF13139}" name="Year" dataDxfId="34"/>
    <tableColumn id="3" xr3:uid="{F2EE4FA5-A3D9-4036-9D33-83982CE061B1}" name="Month" dataDxfId="33"/>
    <tableColumn id="4" xr3:uid="{85BE0EC4-527A-40D4-B48B-B9E0F5134457}" name="Monthly Revenue Budget" dataDxfId="32" dataCellStyle="Comma"/>
    <tableColumn id="5" xr3:uid="{5A22372B-7D14-4FBD-B20C-C7C20ABC3FD9}" name="Monthly Revenue Actuals" dataDxfId="31" dataCellStyle="Comma"/>
    <tableColumn id="6" xr3:uid="{37814783-D066-4F8B-80A2-C3C1D0FF0651}" name="Monthly Revenue Variance" dataDxfId="30" dataCellStyle="Comma"/>
    <tableColumn id="7" xr3:uid="{F17FD923-07EF-4C05-94D6-EF2B311FEF1F}" name="Monthly Revenue Variance %" dataDxfId="29" dataCellStyle="Comma"/>
    <tableColumn id="8" xr3:uid="{494D17DE-AE3C-4969-9443-B90654E4F1EA}" name="Cumulative Revenue Budget" dataDxfId="28" dataCellStyle="Comma"/>
    <tableColumn id="9" xr3:uid="{D4F39BD3-0ECE-48C2-BE98-F91D1BD84F4E}" name="Cumulative Revenue Actuals" dataDxfId="27" dataCellStyle="Comma"/>
    <tableColumn id="10" xr3:uid="{CBC274BC-AD08-4147-8A77-5197EC9CD3C4}" name="Cumulative Revenue Variance" dataDxfId="26" dataCellStyle="Comma"/>
    <tableColumn id="11" xr3:uid="{D298E6FD-BC84-4E42-B4C4-1C2FF1B5BF38}" name="Cumulative Revenue Variance %" dataDxfId="25" dataCellStyle="Comma"/>
    <tableColumn id="12" xr3:uid="{6DAB4FBE-634B-46A8-8AE9-5989105DBD67}" name="Revenue Total Budget 2026" dataDxfId="24" dataCellStyle="Comma"/>
    <tableColumn id="13" xr3:uid="{D0352586-4E00-44CB-9BE2-CB984F510DF5}" name="Revenue To Be Achieved " dataDxfId="23" dataCellStyle="Comma"/>
    <tableColumn id="14" xr3:uid="{3D8654D5-D4D4-43DB-B2D7-92A2AD4793E5}" name="Revenue To Be Achieved%" dataDxfId="22" dataCellStyle="Comma"/>
    <tableColumn id="15" xr3:uid="{9036B2A7-8651-4464-8270-8BE17AB99CDC}" name="Monthly Expenses Budget" dataDxfId="21" dataCellStyle="Comma"/>
    <tableColumn id="16" xr3:uid="{BAA23438-9973-401A-A19B-D6F72EB34CE4}" name="Monthly Expenses Actuals" dataDxfId="20" dataCellStyle="Comma"/>
    <tableColumn id="17" xr3:uid="{8658F236-A3AB-41E2-8B36-90385A366386}" name="Monthly Expenses Variance" dataDxfId="19" dataCellStyle="Comma"/>
    <tableColumn id="18" xr3:uid="{925D6209-24E2-4AEE-8C19-38113A7A8E8B}" name="Monthly Expenses Variance %" dataDxfId="18" dataCellStyle="Comma"/>
    <tableColumn id="19" xr3:uid="{CDEC9B6A-5ADF-4D8F-B089-28FBD0D0D2F5}" name="Cumulative Expenses Budget" dataDxfId="17" dataCellStyle="Comma"/>
    <tableColumn id="20" xr3:uid="{247DD30F-211A-4215-96EF-CD67426AD25C}" name="Cumulative Expenses Actuals" dataDxfId="16" dataCellStyle="Comma"/>
    <tableColumn id="21" xr3:uid="{A9E72E99-4177-41A8-A459-4FFC558F27E1}" name="Cumulative Expenses Variance" dataDxfId="15" dataCellStyle="Comma"/>
    <tableColumn id="22" xr3:uid="{E2EBAEB3-B491-4382-8AF5-A2B828FE5688}" name="Cumulative Expenses Variance %" dataDxfId="14" dataCellStyle="Comma"/>
    <tableColumn id="23" xr3:uid="{08ED2A55-62AA-4E44-8BDE-E519BF6F4741}" name="Expenses Total Budget 2026" dataDxfId="13" dataCellStyle="Comma"/>
    <tableColumn id="24" xr3:uid="{17278337-4418-4A1E-8B16-7891C4DFC0DE}" name="Expenses To Be Achieved " dataDxfId="12" dataCellStyle="Comma"/>
    <tableColumn id="25" xr3:uid="{7ECAC924-C64F-4DBE-992F-CB6191B30698}" name="Expenses To Be Achieved%" dataDxfId="11" dataCellStyle="Comma"/>
    <tableColumn id="26" xr3:uid="{414CEF1D-A019-4F46-A930-2D4503B544FD}" name="Monthly Contribution Budget" dataDxfId="10" dataCellStyle="Comma"/>
    <tableColumn id="27" xr3:uid="{DD291354-0520-4FBD-A8A9-F7FA265179D8}" name="Monthly Contribution Actuals" dataDxfId="9" dataCellStyle="Comma"/>
    <tableColumn id="28" xr3:uid="{6148AF32-BF67-4BB0-82EA-D251C86446DF}" name="Monthly Contribution Variance" dataDxfId="8" dataCellStyle="Comma"/>
    <tableColumn id="29" xr3:uid="{6884EEFE-C620-48D8-A5CF-C6710CC80027}" name="Monthly Contribution Variance %" dataDxfId="7" dataCellStyle="Comma"/>
    <tableColumn id="30" xr3:uid="{24B0DF73-E5CA-4E42-95E8-BA84C889254A}" name="Cumulative Contribution Budget" dataDxfId="6" dataCellStyle="Comma"/>
    <tableColumn id="31" xr3:uid="{4CC64000-1057-4D0E-8EE7-98258C190B47}" name="Cumulative Contribution Actuals" dataDxfId="5" dataCellStyle="Comma"/>
    <tableColumn id="32" xr3:uid="{F82EF225-1F51-4028-B9B4-F1858F22C016}" name="Cumulative Contribution Variance" dataDxfId="4" dataCellStyle="Comma"/>
    <tableColumn id="33" xr3:uid="{C01E0397-FF1E-4008-8B24-869E0099E9FF}" name="Cumulative Contribution Variance %" dataDxfId="3" dataCellStyle="Comma"/>
    <tableColumn id="34" xr3:uid="{96E0C93C-B8DF-45C0-A807-B0F2B37D459D}" name="Contribution Total Budget 2026" dataDxfId="2" dataCellStyle="Comma"/>
    <tableColumn id="35" xr3:uid="{B5ED046B-B1A5-44F2-87C4-506F2B689D19}" name="Contribution To Be Achieved " dataDxfId="1" dataCellStyle="Comma"/>
    <tableColumn id="36" xr3:uid="{8A753553-2A29-4CE8-92A1-CA4862CAF7BC}" name="Contribution To Be Achieved%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3D145-A3F4-4FC2-BDA9-9DEAAB5A2589}">
  <sheetPr codeName="Sheet1"/>
  <dimension ref="A1:BF13"/>
  <sheetViews>
    <sheetView zoomScale="130" zoomScaleNormal="130" workbookViewId="0">
      <selection activeCell="AW20" sqref="AW20"/>
    </sheetView>
  </sheetViews>
  <sheetFormatPr defaultRowHeight="15" x14ac:dyDescent="0.25"/>
  <cols>
    <col min="1" max="1" width="18.85546875" customWidth="1"/>
    <col min="2" max="2" width="7.140625" customWidth="1"/>
    <col min="4" max="4" width="12" customWidth="1"/>
    <col min="5" max="5" width="13.140625" customWidth="1"/>
    <col min="6" max="6" width="15.140625" customWidth="1"/>
    <col min="7" max="7" width="14.42578125" customWidth="1"/>
    <col min="8" max="8" width="11.7109375" customWidth="1"/>
    <col min="9" max="9" width="12.85546875" customWidth="1"/>
    <col min="10" max="10" width="14.140625" customWidth="1"/>
    <col min="11" max="12" width="13.5703125" customWidth="1"/>
    <col min="13" max="13" width="13.7109375" customWidth="1"/>
    <col min="14" max="14" width="11.5703125" customWidth="1"/>
    <col min="15" max="15" width="12.85546875" customWidth="1"/>
    <col min="16" max="16" width="14.5703125" customWidth="1"/>
    <col min="17" max="17" width="14.7109375" customWidth="1"/>
    <col min="18" max="18" width="13.85546875" customWidth="1"/>
    <col min="19" max="19" width="13.42578125" customWidth="1"/>
    <col min="20" max="20" width="13.5703125" customWidth="1"/>
    <col min="21" max="21" width="15.85546875" customWidth="1"/>
    <col min="22" max="22" width="15.5703125" customWidth="1"/>
    <col min="23" max="23" width="16.28515625" customWidth="1"/>
    <col min="24" max="24" width="13.140625" customWidth="1"/>
    <col min="25" max="25" width="12.140625" customWidth="1"/>
    <col min="26" max="26" width="16" customWidth="1"/>
    <col min="27" max="27" width="17" customWidth="1"/>
    <col min="28" max="28" width="14.42578125" customWidth="1"/>
    <col min="29" max="29" width="16" customWidth="1"/>
    <col min="30" max="30" width="16.28515625" customWidth="1"/>
    <col min="31" max="31" width="15.85546875" customWidth="1"/>
    <col min="32" max="32" width="14.7109375" customWidth="1"/>
    <col min="33" max="33" width="15.28515625" customWidth="1"/>
    <col min="34" max="34" width="20.28515625" customWidth="1"/>
    <col min="35" max="35" width="14.5703125" customWidth="1"/>
    <col min="36" max="36" width="20.5703125" customWidth="1"/>
    <col min="37" max="37" width="19.5703125" customWidth="1"/>
    <col min="38" max="38" width="22.140625" customWidth="1"/>
    <col min="39" max="39" width="17.7109375" customWidth="1"/>
    <col min="40" max="40" width="17.28515625" customWidth="1"/>
    <col min="41" max="41" width="18.42578125" customWidth="1"/>
    <col min="42" max="42" width="15" customWidth="1"/>
    <col min="43" max="43" width="17.28515625" customWidth="1"/>
    <col min="44" max="44" width="18" customWidth="1"/>
    <col min="45" max="45" width="19.7109375" customWidth="1"/>
    <col min="46" max="46" width="17.140625" customWidth="1"/>
    <col min="47" max="47" width="13.7109375" customWidth="1"/>
    <col min="48" max="48" width="20" customWidth="1"/>
    <col min="49" max="49" width="19.85546875" customWidth="1"/>
    <col min="50" max="50" width="15.140625" customWidth="1"/>
    <col min="51" max="51" width="14.140625" customWidth="1"/>
    <col min="52" max="52" width="17.28515625" customWidth="1"/>
    <col min="53" max="53" width="14.5703125" customWidth="1"/>
    <col min="54" max="54" width="18.28515625" customWidth="1"/>
    <col min="55" max="55" width="13.28515625" customWidth="1"/>
    <col min="56" max="56" width="13.42578125" customWidth="1"/>
    <col min="57" max="57" width="14.5703125" customWidth="1"/>
    <col min="58" max="58" width="18.7109375" customWidth="1"/>
    <col min="59" max="59" width="14.85546875" customWidth="1"/>
    <col min="60" max="60" width="15.7109375" customWidth="1"/>
    <col min="61" max="61" width="15.140625" customWidth="1"/>
    <col min="62" max="62" width="14.42578125" customWidth="1"/>
    <col min="63" max="63" width="17" customWidth="1"/>
    <col min="64" max="64" width="14.42578125" customWidth="1"/>
    <col min="65" max="65" width="16.42578125" customWidth="1"/>
    <col min="66" max="66" width="18" customWidth="1"/>
    <col min="67" max="67" width="14.5703125" customWidth="1"/>
    <col min="68" max="68" width="15.140625" customWidth="1"/>
    <col min="69" max="69" width="13" customWidth="1"/>
  </cols>
  <sheetData>
    <row r="1" spans="1:58" s="1" customFormat="1" ht="60" x14ac:dyDescent="0.25">
      <c r="A1" s="2" t="s">
        <v>0</v>
      </c>
      <c r="B1" s="3" t="s">
        <v>1</v>
      </c>
      <c r="C1" s="3" t="s">
        <v>2</v>
      </c>
      <c r="D1" s="4" t="s">
        <v>16</v>
      </c>
      <c r="E1" s="4" t="s">
        <v>102</v>
      </c>
      <c r="F1" s="4" t="s">
        <v>101</v>
      </c>
      <c r="G1" s="4" t="s">
        <v>19</v>
      </c>
      <c r="H1" s="4" t="s">
        <v>20</v>
      </c>
      <c r="I1" s="4" t="s">
        <v>100</v>
      </c>
      <c r="J1" s="4" t="s">
        <v>99</v>
      </c>
      <c r="K1" s="4" t="s">
        <v>98</v>
      </c>
      <c r="L1" s="4" t="s">
        <v>97</v>
      </c>
      <c r="M1" s="4" t="s">
        <v>23</v>
      </c>
      <c r="N1" s="4" t="s">
        <v>96</v>
      </c>
      <c r="O1" s="5" t="s">
        <v>95</v>
      </c>
      <c r="P1" s="5" t="s">
        <v>26</v>
      </c>
      <c r="Q1" s="5" t="s">
        <v>27</v>
      </c>
      <c r="R1" s="5" t="s">
        <v>28</v>
      </c>
      <c r="S1" s="5" t="s">
        <v>29</v>
      </c>
      <c r="T1" s="5" t="s">
        <v>55</v>
      </c>
      <c r="U1" s="5" t="s">
        <v>30</v>
      </c>
      <c r="V1" s="5" t="s">
        <v>31</v>
      </c>
      <c r="W1" s="5" t="s">
        <v>90</v>
      </c>
      <c r="X1" s="5" t="s">
        <v>32</v>
      </c>
      <c r="Y1" s="5" t="s">
        <v>33</v>
      </c>
      <c r="Z1" s="6" t="s">
        <v>87</v>
      </c>
      <c r="AA1" s="6" t="s">
        <v>88</v>
      </c>
      <c r="AB1" s="6" t="s">
        <v>69</v>
      </c>
      <c r="AC1" s="6" t="s">
        <v>70</v>
      </c>
      <c r="AD1" s="6" t="s">
        <v>71</v>
      </c>
      <c r="AE1" s="6" t="s">
        <v>72</v>
      </c>
      <c r="AF1" s="6" t="s">
        <v>73</v>
      </c>
      <c r="AG1" s="6" t="s">
        <v>74</v>
      </c>
      <c r="AH1" s="6" t="s">
        <v>92</v>
      </c>
      <c r="AI1" s="6" t="s">
        <v>75</v>
      </c>
      <c r="AJ1" s="6" t="s">
        <v>76</v>
      </c>
      <c r="AK1" s="7" t="s">
        <v>77</v>
      </c>
      <c r="AL1" s="7" t="s">
        <v>78</v>
      </c>
      <c r="AM1" s="7" t="s">
        <v>79</v>
      </c>
      <c r="AN1" s="7" t="s">
        <v>80</v>
      </c>
      <c r="AO1" s="7" t="s">
        <v>81</v>
      </c>
      <c r="AP1" s="7" t="s">
        <v>82</v>
      </c>
      <c r="AQ1" s="7" t="s">
        <v>83</v>
      </c>
      <c r="AR1" s="7" t="s">
        <v>84</v>
      </c>
      <c r="AS1" s="7" t="s">
        <v>93</v>
      </c>
      <c r="AT1" s="7" t="s">
        <v>85</v>
      </c>
      <c r="AU1" s="7" t="s">
        <v>86</v>
      </c>
      <c r="AV1" s="8" t="s">
        <v>45</v>
      </c>
      <c r="AW1" s="8" t="s">
        <v>46</v>
      </c>
      <c r="AX1" s="8" t="s">
        <v>47</v>
      </c>
      <c r="AY1" s="8" t="s">
        <v>48</v>
      </c>
      <c r="AZ1" s="8" t="s">
        <v>49</v>
      </c>
      <c r="BA1" s="8" t="s">
        <v>54</v>
      </c>
      <c r="BB1" s="8" t="s">
        <v>50</v>
      </c>
      <c r="BC1" s="8" t="s">
        <v>51</v>
      </c>
      <c r="BD1" s="8" t="s">
        <v>94</v>
      </c>
      <c r="BE1" s="8" t="s">
        <v>52</v>
      </c>
      <c r="BF1" s="9" t="s">
        <v>53</v>
      </c>
    </row>
    <row r="2" spans="1:58" x14ac:dyDescent="0.25">
      <c r="A2" s="10" t="s">
        <v>44</v>
      </c>
      <c r="B2" s="11">
        <v>2026</v>
      </c>
      <c r="C2" s="12" t="s">
        <v>3</v>
      </c>
      <c r="D2" s="13">
        <v>239732</v>
      </c>
      <c r="E2" s="13">
        <v>236752.00755000004</v>
      </c>
      <c r="F2" s="13">
        <f>Table135[[#This Row],[Monthly Revenue Actuals ]]-Table135[[#This Row],[Monthly Revenue Budget]]</f>
        <v>-2979.9924499999615</v>
      </c>
      <c r="G2" s="14">
        <f>(Table135[[#This Row],[Monthly Revenue Variance ]]/Table135[[#This Row],[Monthly Revenue Budget]])*100</f>
        <v>-1.2430515951145285</v>
      </c>
      <c r="H2" s="13">
        <v>239732</v>
      </c>
      <c r="I2" s="13">
        <v>236752.00755000004</v>
      </c>
      <c r="J2" s="13">
        <f>Table135[[#This Row],[Cumulative Revenue Actuals ]]-Table135[[#This Row],[Cumulative Revenue Budget]]</f>
        <v>-2979.9924499999615</v>
      </c>
      <c r="K2" s="14">
        <f>(Table135[[#This Row],[Cumulative Revenue Variance ]]/Table135[[#This Row],[Cumulative Revenue Budget]])*100</f>
        <v>-1.2430515951145285</v>
      </c>
      <c r="L2" s="13">
        <v>2484725.9422826669</v>
      </c>
      <c r="M2" s="13">
        <f>Table135[[#This Row],[Revenue Total Budget ]]-Table135[[#This Row],[Cumulative Revenue Actuals ]]</f>
        <v>2247973.9347326667</v>
      </c>
      <c r="N2" s="14">
        <f>(Table135[[#This Row],[Revenue To Be Achieved ]]/Table135[[#This Row],[Revenue Total Budget ]])*100</f>
        <v>90.471705409390097</v>
      </c>
      <c r="O2" s="15">
        <v>153466</v>
      </c>
      <c r="P2" s="15">
        <v>142569.58326000001</v>
      </c>
      <c r="Q2" s="15">
        <f>Table135[[#This Row],[Monthly Expenses Budget 2026]]-Table135[[#This Row],[Monthly Expenses Actuals]]</f>
        <v>10896.416739999986</v>
      </c>
      <c r="R2" s="16">
        <f>(Table135[[#This Row],[Monthly Expenses Variance]]/Table135[[#This Row],[Monthly Expenses Budget 2026]])*100</f>
        <v>7.1002155135339331</v>
      </c>
      <c r="S2" s="15">
        <v>153466</v>
      </c>
      <c r="T2" s="15">
        <v>142569.58326000001</v>
      </c>
      <c r="U2" s="15">
        <f>Table135[[#This Row],[Cumulative Expenses Budget]]-Table135[[#This Row],[Cumulative Expenses Actuals]]</f>
        <v>10896.416739999986</v>
      </c>
      <c r="V2" s="16">
        <f>(Table135[[#This Row],[Cumulative Expenses Variance]]/Table135[[#This Row],[Cumulative Expenses Budget]])*100</f>
        <v>7.1002155135339331</v>
      </c>
      <c r="W2" s="15">
        <v>1401920.96659408</v>
      </c>
      <c r="X2" s="15">
        <f>Table135[[#This Row],[Expenses Total Budget 2026]]-Table135[[#This Row],[Cumulative Expenses Actuals]]</f>
        <v>1259351.38333408</v>
      </c>
      <c r="Y2" s="16">
        <f>(Table135[[#This Row],[Expenses To Be Achieved ]]/Table135[[#This Row],[Expenses Total Budget 2026]])*100</f>
        <v>89.83041222313922</v>
      </c>
      <c r="Z2" s="17">
        <v>19550</v>
      </c>
      <c r="AA2" s="17">
        <v>29196</v>
      </c>
      <c r="AB2" s="17">
        <f>Table135[[#This Row],[Monthly Operational Surplus Actuals]]-Table135[[#This Row],[Monthly Operational Surplus Budget]]</f>
        <v>9646</v>
      </c>
      <c r="AC2" s="48">
        <f>(Table135[[#This Row],[Monthly Operational Surplus Variance]]/Table135[[#This Row],[Monthly Operational Surplus Budget]])*100</f>
        <v>49.340153452685421</v>
      </c>
      <c r="AD2" s="17">
        <v>19550</v>
      </c>
      <c r="AE2" s="17">
        <v>29196</v>
      </c>
      <c r="AF2" s="17">
        <f>Table135[[#This Row],[Cumulative Operational Surplus Actuals]]-Table135[[#This Row],[Cumulative Operational Surplus Budget]]</f>
        <v>9646</v>
      </c>
      <c r="AG2" s="48">
        <f>(Table135[[#This Row],[Cumulative Operational Surplus Variance]]/Table135[[#This Row],[Cumulative Operational Surplus Budget]])*100</f>
        <v>49.340153452685421</v>
      </c>
      <c r="AH2" s="17">
        <v>479982.84902517917</v>
      </c>
      <c r="AI2" s="17">
        <f>Table135[[#This Row],[Operational Surplus Total Budget 2026]]-Table135[[#This Row],[Cumulative Operational Surplus Actuals]]</f>
        <v>450786.84902517917</v>
      </c>
      <c r="AJ2" s="48">
        <f>(Table135[[#This Row],[Operational Surplus To Be Achieved ]]/Table135[[#This Row],[Operational Surplus Total Budget 2026]])*100</f>
        <v>93.917282657225016</v>
      </c>
      <c r="AK2" s="18">
        <v>40025</v>
      </c>
      <c r="AL2" s="18">
        <v>42013</v>
      </c>
      <c r="AM2" s="18">
        <f>Table135[[#This Row],[Monthly Net Interest Income Actuals]]-Table135[[#This Row],[Monthly Net Interest Income Budget]]</f>
        <v>1988</v>
      </c>
      <c r="AN2" s="49">
        <f>(Table135[[#This Row],[Monthly Net Interest Income Variance]]/Table135[[#This Row],[Monthly Net Interest Income Budget]])*100</f>
        <v>4.9668956901936294</v>
      </c>
      <c r="AO2" s="18">
        <v>40025</v>
      </c>
      <c r="AP2" s="18">
        <v>42013</v>
      </c>
      <c r="AQ2" s="18">
        <f>Table135[[#This Row],[Cumulative Net Interest Income Actuals]]-Table135[[#This Row],[Cumulative Net Interest Income Budget]]</f>
        <v>1988</v>
      </c>
      <c r="AR2" s="49">
        <f>(Table135[[#This Row],[Cumulative Net Interest Income Variance]]/Table135[[#This Row],[Cumulative Net Interest Income Budget]])*100</f>
        <v>4.9668956901936294</v>
      </c>
      <c r="AS2" s="18">
        <v>471847</v>
      </c>
      <c r="AT2" s="18">
        <f>Table135[[#This Row],[Net Interest Income Total Budget 2026]]-Table135[[#This Row],[Cumulative Net Interest Income Actuals]]</f>
        <v>429834</v>
      </c>
      <c r="AU2" s="49">
        <f>(Table135[[#This Row],[Net Interest Income To Be Achieved ]]/Table135[[#This Row],[Net Interest Income Total Budget 2026]])*100</f>
        <v>91.096054441376126</v>
      </c>
      <c r="AV2" s="19">
        <v>59574</v>
      </c>
      <c r="AW2" s="19">
        <v>71209</v>
      </c>
      <c r="AX2" s="19">
        <f>Table135[[#This Row],[Monthly Surplus Before Tax Actuals]]-Table135[[#This Row],[Monthly Surplus Before Tax Budget]]</f>
        <v>11635</v>
      </c>
      <c r="AY2" s="34">
        <f>(Table135[[#This Row],[Monthly Surplus Before Tax Variance]]/Table135[[#This Row],[Monthly Surplus Before Tax Budget]])*100</f>
        <v>19.530332024037332</v>
      </c>
      <c r="AZ2" s="19">
        <v>59574</v>
      </c>
      <c r="BA2" s="19">
        <v>71209</v>
      </c>
      <c r="BB2" s="19">
        <f>Table135[[#This Row],[Cumulative Surplus Before Tax Actuals]]-Table135[[#This Row],[Cumulative Surplus Before Tax Budget]]</f>
        <v>11635</v>
      </c>
      <c r="BC2" s="20">
        <f>(Table135[[#This Row],[Cumulative Surplus Before Tax Variance]]/Table135[[#This Row],[Cumulative Surplus Before Tax Budget]])*100</f>
        <v>19.530332024037332</v>
      </c>
      <c r="BD2" s="19">
        <v>951829.86895434291</v>
      </c>
      <c r="BE2" s="19">
        <f>Table135[[#This Row],[Surplus Before Tax Total Budget 2026]]-Table135[[#This Row],[Cumulative Surplus Before Tax Actuals]]</f>
        <v>880620.86895434291</v>
      </c>
      <c r="BF2" s="21">
        <f>(Table135[[#This Row],[Surplus Before Tax To Be Achieved ]]/Table135[[#This Row],[Surplus Before Tax Total Budget 2026]])*100</f>
        <v>92.518726053614131</v>
      </c>
    </row>
    <row r="3" spans="1:58" x14ac:dyDescent="0.25">
      <c r="A3" s="10" t="s">
        <v>44</v>
      </c>
      <c r="B3" s="11">
        <v>2026</v>
      </c>
      <c r="C3" s="22" t="s">
        <v>4</v>
      </c>
      <c r="D3" s="13">
        <v>186892</v>
      </c>
      <c r="E3" s="13">
        <v>187802.30408</v>
      </c>
      <c r="F3" s="13">
        <f>Table135[[#This Row],[Monthly Revenue Actuals ]]-Table135[[#This Row],[Monthly Revenue Budget]]</f>
        <v>910.3040800000017</v>
      </c>
      <c r="G3" s="14">
        <f>(Table135[[#This Row],[Monthly Revenue Variance ]]/Table135[[#This Row],[Monthly Revenue Budget]])*100</f>
        <v>0.48707493097617965</v>
      </c>
      <c r="H3" s="13">
        <v>426624</v>
      </c>
      <c r="I3" s="13">
        <v>424554.31163000007</v>
      </c>
      <c r="J3" s="13">
        <f>Table135[[#This Row],[Cumulative Revenue Actuals ]]-Table135[[#This Row],[Cumulative Revenue Budget]]</f>
        <v>-2069.6883699999307</v>
      </c>
      <c r="K3" s="14">
        <f>(Table135[[#This Row],[Cumulative Revenue Variance ]]/Table135[[#This Row],[Cumulative Revenue Budget]])*100</f>
        <v>-0.48513172489122286</v>
      </c>
      <c r="L3" s="13">
        <v>2484725.9422826669</v>
      </c>
      <c r="M3" s="13">
        <f>Table135[[#This Row],[Revenue Total Budget ]]-Table135[[#This Row],[Cumulative Revenue Actuals ]]</f>
        <v>2060171.6306526668</v>
      </c>
      <c r="N3" s="14">
        <f>(Table135[[#This Row],[Revenue To Be Achieved ]]/Table135[[#This Row],[Revenue Total Budget ]])*100</f>
        <v>82.913435063185645</v>
      </c>
      <c r="O3" s="15">
        <v>113704</v>
      </c>
      <c r="P3" s="15">
        <v>115416</v>
      </c>
      <c r="Q3" s="15">
        <f>Table135[[#This Row],[Monthly Expenses Budget 2026]]-Table135[[#This Row],[Monthly Expenses Actuals]]</f>
        <v>-1712</v>
      </c>
      <c r="R3" s="16">
        <f>(Table135[[#This Row],[Monthly Expenses Variance]]/Table135[[#This Row],[Monthly Expenses Budget 2026]])*100</f>
        <v>-1.5056638288890452</v>
      </c>
      <c r="S3" s="15">
        <v>267170</v>
      </c>
      <c r="T3" s="15">
        <v>257986</v>
      </c>
      <c r="U3" s="15">
        <f>Table135[[#This Row],[Cumulative Expenses Budget]]-Table135[[#This Row],[Cumulative Expenses Actuals]]</f>
        <v>9184</v>
      </c>
      <c r="V3" s="16">
        <f>(Table135[[#This Row],[Cumulative Expenses Variance]]/Table135[[#This Row],[Cumulative Expenses Budget]])*100</f>
        <v>3.437511696672531</v>
      </c>
      <c r="W3" s="15">
        <v>1401920.96659408</v>
      </c>
      <c r="X3" s="15">
        <f>Table135[[#This Row],[Expenses Total Budget 2026]]-Table135[[#This Row],[Cumulative Expenses Actuals]]</f>
        <v>1143934.96659408</v>
      </c>
      <c r="Y3" s="16">
        <f>(Table135[[#This Row],[Expenses To Be Achieved ]]/Table135[[#This Row],[Expenses Total Budget 2026]])*100</f>
        <v>81.597678745987494</v>
      </c>
      <c r="Z3" s="17">
        <v>17856</v>
      </c>
      <c r="AA3" s="17">
        <v>24749</v>
      </c>
      <c r="AB3" s="17">
        <f>Table135[[#This Row],[Monthly Operational Surplus Actuals]]-Table135[[#This Row],[Monthly Operational Surplus Budget]]</f>
        <v>6893</v>
      </c>
      <c r="AC3" s="48">
        <f>(Table135[[#This Row],[Monthly Operational Surplus Variance]]/Table135[[#This Row],[Monthly Operational Surplus Budget]])*100</f>
        <v>38.603270609318997</v>
      </c>
      <c r="AD3" s="17">
        <v>37406</v>
      </c>
      <c r="AE3" s="17">
        <v>53945</v>
      </c>
      <c r="AF3" s="17">
        <f>Table135[[#This Row],[Cumulative Operational Surplus Actuals]]-Table135[[#This Row],[Cumulative Operational Surplus Budget]]</f>
        <v>16539</v>
      </c>
      <c r="AG3" s="48">
        <f>(Table135[[#This Row],[Cumulative Operational Surplus Variance]]/Table135[[#This Row],[Cumulative Operational Surplus Budget]])*100</f>
        <v>44.214831845158528</v>
      </c>
      <c r="AH3" s="17">
        <v>479982.84902517917</v>
      </c>
      <c r="AI3" s="17">
        <f>Table135[[#This Row],[Operational Surplus Total Budget 2026]]-Table135[[#This Row],[Cumulative Operational Surplus Actuals]]</f>
        <v>426037.84902517917</v>
      </c>
      <c r="AJ3" s="48">
        <f>(Table135[[#This Row],[Operational Surplus To Be Achieved ]]/Table135[[#This Row],[Operational Surplus Total Budget 2026]])*100</f>
        <v>88.761056752431983</v>
      </c>
      <c r="AK3" s="18">
        <v>40045</v>
      </c>
      <c r="AL3" s="18">
        <v>36610</v>
      </c>
      <c r="AM3" s="18">
        <f>Table135[[#This Row],[Monthly Net Interest Income Actuals]]-Table135[[#This Row],[Monthly Net Interest Income Budget]]</f>
        <v>-3435</v>
      </c>
      <c r="AN3" s="49">
        <f>(Table135[[#This Row],[Monthly Net Interest Income Variance]]/Table135[[#This Row],[Monthly Net Interest Income Budget]])*100</f>
        <v>-8.5778499188413022</v>
      </c>
      <c r="AO3" s="18">
        <v>80070</v>
      </c>
      <c r="AP3" s="18">
        <v>78623</v>
      </c>
      <c r="AQ3" s="18">
        <f>Table135[[#This Row],[Cumulative Net Interest Income Actuals]]-Table135[[#This Row],[Cumulative Net Interest Income Budget]]</f>
        <v>-1447</v>
      </c>
      <c r="AR3" s="49">
        <f>(Table135[[#This Row],[Cumulative Net Interest Income Variance]]/Table135[[#This Row],[Cumulative Net Interest Income Budget]])*100</f>
        <v>-1.8071687273635568</v>
      </c>
      <c r="AS3" s="18">
        <v>471847</v>
      </c>
      <c r="AT3" s="18">
        <f>Table135[[#This Row],[Net Interest Income Total Budget 2026]]-Table135[[#This Row],[Cumulative Net Interest Income Actuals]]</f>
        <v>393224</v>
      </c>
      <c r="AU3" s="49">
        <f>(Table135[[#This Row],[Net Interest Income To Be Achieved ]]/Table135[[#This Row],[Net Interest Income Total Budget 2026]])*100</f>
        <v>83.337183451415399</v>
      </c>
      <c r="AV3" s="19">
        <v>57902</v>
      </c>
      <c r="AW3" s="19">
        <v>61359</v>
      </c>
      <c r="AX3" s="19">
        <f>Table135[[#This Row],[Monthly Surplus Before Tax Actuals]]-Table135[[#This Row],[Monthly Surplus Before Tax Budget]]</f>
        <v>3457</v>
      </c>
      <c r="AY3" s="34">
        <f>(Table135[[#This Row],[Monthly Surplus Before Tax Variance]]/Table135[[#This Row],[Monthly Surplus Before Tax Budget]])*100</f>
        <v>5.9704328002486964</v>
      </c>
      <c r="AZ3" s="19">
        <v>117476</v>
      </c>
      <c r="BA3" s="19">
        <v>132568</v>
      </c>
      <c r="BB3" s="19">
        <f>Table135[[#This Row],[Cumulative Surplus Before Tax Actuals]]-Table135[[#This Row],[Cumulative Surplus Before Tax Budget]]</f>
        <v>15092</v>
      </c>
      <c r="BC3" s="20">
        <f>(Table135[[#This Row],[Cumulative Surplus Before Tax Variance]]/Table135[[#This Row],[Cumulative Surplus Before Tax Budget]])*100</f>
        <v>12.84687936259321</v>
      </c>
      <c r="BD3" s="19">
        <v>951829.86895434291</v>
      </c>
      <c r="BE3" s="19">
        <f>Table135[[#This Row],[Surplus Before Tax Total Budget 2026]]-Table135[[#This Row],[Cumulative Surplus Before Tax Actuals]]</f>
        <v>819261.86895434291</v>
      </c>
      <c r="BF3" s="21">
        <f>(Table135[[#This Row],[Surplus Before Tax To Be Achieved ]]/Table135[[#This Row],[Surplus Before Tax Total Budget 2026]])*100</f>
        <v>86.072300909653535</v>
      </c>
    </row>
    <row r="4" spans="1:58" x14ac:dyDescent="0.25">
      <c r="A4" s="10" t="s">
        <v>44</v>
      </c>
      <c r="B4" s="11">
        <v>2026</v>
      </c>
      <c r="C4" s="11" t="s">
        <v>5</v>
      </c>
      <c r="D4" s="13">
        <v>119943</v>
      </c>
      <c r="E4" s="13">
        <v>138646.99107666669</v>
      </c>
      <c r="F4" s="13">
        <f>Table135[[#This Row],[Monthly Revenue Actuals ]]-Table135[[#This Row],[Monthly Revenue Budget]]</f>
        <v>18703.991076666687</v>
      </c>
      <c r="G4" s="14">
        <f>(Table135[[#This Row],[Monthly Revenue Variance ]]/Table135[[#This Row],[Monthly Revenue Budget]])*100</f>
        <v>15.59406641210132</v>
      </c>
      <c r="H4" s="13">
        <v>546567</v>
      </c>
      <c r="I4" s="13">
        <v>563201.30270666676</v>
      </c>
      <c r="J4" s="13">
        <f>Table135[[#This Row],[Cumulative Revenue Actuals ]]-Table135[[#This Row],[Cumulative Revenue Budget]]</f>
        <v>16634.302706666756</v>
      </c>
      <c r="K4" s="14">
        <f>(Table135[[#This Row],[Cumulative Revenue Variance ]]/Table135[[#This Row],[Cumulative Revenue Budget]])*100</f>
        <v>3.0434151177562416</v>
      </c>
      <c r="L4" s="13">
        <v>2484725.9422826669</v>
      </c>
      <c r="M4" s="13">
        <f>Table135[[#This Row],[Revenue Total Budget ]]-Table135[[#This Row],[Cumulative Revenue Actuals ]]</f>
        <v>1921524.6395760002</v>
      </c>
      <c r="N4" s="14">
        <f>(Table135[[#This Row],[Revenue To Be Achieved ]]/Table135[[#This Row],[Revenue Total Budget ]])*100</f>
        <v>77.333463899472747</v>
      </c>
      <c r="O4" s="15">
        <v>74667</v>
      </c>
      <c r="P4" s="15">
        <v>48930</v>
      </c>
      <c r="Q4" s="15">
        <f>Table135[[#This Row],[Monthly Expenses Budget 2026]]-Table135[[#This Row],[Monthly Expenses Actuals]]</f>
        <v>25737</v>
      </c>
      <c r="R4" s="16">
        <f>(Table135[[#This Row],[Monthly Expenses Variance]]/Table135[[#This Row],[Monthly Expenses Budget 2026]])*100</f>
        <v>34.469042548917194</v>
      </c>
      <c r="S4" s="15">
        <v>341836</v>
      </c>
      <c r="T4" s="15">
        <v>306916</v>
      </c>
      <c r="U4" s="15">
        <f>Table135[[#This Row],[Cumulative Expenses Budget]]-Table135[[#This Row],[Cumulative Expenses Actuals]]</f>
        <v>34920</v>
      </c>
      <c r="V4" s="16">
        <f>(Table135[[#This Row],[Cumulative Expenses Variance]]/Table135[[#This Row],[Cumulative Expenses Budget]])*100</f>
        <v>10.215424940614797</v>
      </c>
      <c r="W4" s="15">
        <v>1401920.96659408</v>
      </c>
      <c r="X4" s="15">
        <f>Table135[[#This Row],[Expenses Total Budget 2026]]-Table135[[#This Row],[Cumulative Expenses Actuals]]</f>
        <v>1095004.96659408</v>
      </c>
      <c r="Y4" s="16">
        <f>(Table135[[#This Row],[Expenses To Be Achieved ]]/Table135[[#This Row],[Expenses Total Budget 2026]])*100</f>
        <v>78.107467730820645</v>
      </c>
      <c r="Z4" s="17">
        <v>-7932</v>
      </c>
      <c r="AA4" s="17">
        <v>32873</v>
      </c>
      <c r="AB4" s="17">
        <f>Table135[[#This Row],[Monthly Operational Surplus Actuals]]-Table135[[#This Row],[Monthly Operational Surplus Budget]]</f>
        <v>40805</v>
      </c>
      <c r="AC4" s="48">
        <f>-(Table135[[#This Row],[Monthly Operational Surplus Variance]]/Table135[[#This Row],[Monthly Operational Surplus Budget]])*100</f>
        <v>514.43519919314178</v>
      </c>
      <c r="AD4" s="17">
        <v>29474</v>
      </c>
      <c r="AE4" s="17">
        <v>86818.151056890463</v>
      </c>
      <c r="AF4" s="17">
        <f>Table135[[#This Row],[Cumulative Operational Surplus Actuals]]-Table135[[#This Row],[Cumulative Operational Surplus Budget]]</f>
        <v>57344.151056890463</v>
      </c>
      <c r="AG4" s="48">
        <f>(Table135[[#This Row],[Cumulative Operational Surplus Variance]]/Table135[[#This Row],[Cumulative Operational Surplus Budget]])*100</f>
        <v>194.5584279598645</v>
      </c>
      <c r="AH4" s="17">
        <v>479982.84902517917</v>
      </c>
      <c r="AI4" s="17">
        <f>Table135[[#This Row],[Operational Surplus Total Budget 2026]]-Table135[[#This Row],[Cumulative Operational Surplus Actuals]]</f>
        <v>393164.69796828867</v>
      </c>
      <c r="AJ4" s="48">
        <f>(Table135[[#This Row],[Operational Surplus To Be Achieved ]]/Table135[[#This Row],[Operational Surplus Total Budget 2026]])*100</f>
        <v>81.912238899116133</v>
      </c>
      <c r="AK4" s="18">
        <v>40066</v>
      </c>
      <c r="AL4" s="18">
        <v>41165</v>
      </c>
      <c r="AM4" s="18">
        <f>Table135[[#This Row],[Monthly Net Interest Income Actuals]]-Table135[[#This Row],[Monthly Net Interest Income Budget]]</f>
        <v>1099</v>
      </c>
      <c r="AN4" s="49">
        <f>(Table135[[#This Row],[Monthly Net Interest Income Variance]]/Table135[[#This Row],[Monthly Net Interest Income Budget]])*100</f>
        <v>2.7429740927469677</v>
      </c>
      <c r="AO4" s="18">
        <v>120135</v>
      </c>
      <c r="AP4" s="18">
        <v>119788</v>
      </c>
      <c r="AQ4" s="18">
        <f>Table135[[#This Row],[Cumulative Net Interest Income Actuals]]-Table135[[#This Row],[Cumulative Net Interest Income Budget]]</f>
        <v>-347</v>
      </c>
      <c r="AR4" s="49">
        <f>(Table135[[#This Row],[Cumulative Net Interest Income Variance]]/Table135[[#This Row],[Cumulative Net Interest Income Budget]])*100</f>
        <v>-0.28884171973196821</v>
      </c>
      <c r="AS4" s="18">
        <v>471847</v>
      </c>
      <c r="AT4" s="18">
        <f>Table135[[#This Row],[Net Interest Income Total Budget 2026]]-Table135[[#This Row],[Cumulative Net Interest Income Actuals]]</f>
        <v>352059</v>
      </c>
      <c r="AU4" s="49">
        <f>(Table135[[#This Row],[Net Interest Income To Be Achieved ]]/Table135[[#This Row],[Net Interest Income Total Budget 2026]])*100</f>
        <v>74.612957166200061</v>
      </c>
      <c r="AV4" s="19">
        <v>32134</v>
      </c>
      <c r="AW4" s="19">
        <v>74038</v>
      </c>
      <c r="AX4" s="19">
        <f>Table135[[#This Row],[Monthly Surplus Before Tax Actuals]]-Table135[[#This Row],[Monthly Surplus Before Tax Budget]]</f>
        <v>41904</v>
      </c>
      <c r="AY4" s="34">
        <f>(Table135[[#This Row],[Monthly Surplus Before Tax Variance]]/Table135[[#This Row],[Monthly Surplus Before Tax Budget]])*100</f>
        <v>130.40393352835002</v>
      </c>
      <c r="AZ4" s="19">
        <v>149610</v>
      </c>
      <c r="BA4" s="19">
        <v>177681</v>
      </c>
      <c r="BB4" s="19">
        <f>Table135[[#This Row],[Cumulative Surplus Before Tax Actuals]]-Table135[[#This Row],[Cumulative Surplus Before Tax Budget]]</f>
        <v>28071</v>
      </c>
      <c r="BC4" s="20">
        <f>(Table135[[#This Row],[Cumulative Surplus Before Tax Variance]]/Table135[[#This Row],[Cumulative Surplus Before Tax Budget]])*100</f>
        <v>18.76278323641468</v>
      </c>
      <c r="BD4" s="19">
        <v>951829.86895434291</v>
      </c>
      <c r="BE4" s="19">
        <f>Table135[[#This Row],[Surplus Before Tax Total Budget 2026]]-Table135[[#This Row],[Cumulative Surplus Before Tax Actuals]]</f>
        <v>774148.86895434291</v>
      </c>
      <c r="BF4" s="21">
        <f>(Table135[[#This Row],[Surplus Before Tax To Be Achieved ]]/Table135[[#This Row],[Surplus Before Tax Total Budget 2026]])*100</f>
        <v>81.332693394545814</v>
      </c>
    </row>
    <row r="5" spans="1:58" x14ac:dyDescent="0.25">
      <c r="A5" s="10" t="s">
        <v>44</v>
      </c>
      <c r="B5" s="11">
        <v>2026</v>
      </c>
      <c r="C5" s="22" t="s">
        <v>6</v>
      </c>
      <c r="D5" s="13">
        <v>148024</v>
      </c>
      <c r="E5" s="13">
        <v>151289</v>
      </c>
      <c r="F5" s="13">
        <f>Table135[[#This Row],[Monthly Revenue Actuals ]]-Table135[[#This Row],[Monthly Revenue Budget]]</f>
        <v>3265</v>
      </c>
      <c r="G5" s="14">
        <f>(Table135[[#This Row],[Monthly Revenue Variance ]]/Table135[[#This Row],[Monthly Revenue Budget]])*100</f>
        <v>2.2057233962060203</v>
      </c>
      <c r="H5" s="13">
        <v>694591</v>
      </c>
      <c r="I5" s="13">
        <v>714491</v>
      </c>
      <c r="J5" s="13">
        <f>Table135[[#This Row],[Cumulative Revenue Actuals ]]-Table135[[#This Row],[Cumulative Revenue Budget]]</f>
        <v>19900</v>
      </c>
      <c r="K5" s="14">
        <f>(Table135[[#This Row],[Cumulative Revenue Variance ]]/Table135[[#This Row],[Cumulative Revenue Budget]])*100</f>
        <v>2.8649953713768244</v>
      </c>
      <c r="L5" s="13">
        <v>2560070</v>
      </c>
      <c r="M5" s="13">
        <f>Table135[[#This Row],[Revenue Total Budget ]]-Table135[[#This Row],[Cumulative Revenue Actuals ]]</f>
        <v>1845579</v>
      </c>
      <c r="N5" s="14">
        <f>(Table135[[#This Row],[Revenue To Be Achieved ]]/Table135[[#This Row],[Revenue Total Budget ]])*100</f>
        <v>72.090958450354876</v>
      </c>
      <c r="O5" s="15">
        <v>93178</v>
      </c>
      <c r="P5" s="15">
        <v>63746</v>
      </c>
      <c r="Q5" s="15">
        <f>Table135[[#This Row],[Monthly Expenses Budget 2026]]-Table135[[#This Row],[Monthly Expenses Actuals]]</f>
        <v>29432</v>
      </c>
      <c r="R5" s="16">
        <f>(Table135[[#This Row],[Monthly Expenses Variance]]/Table135[[#This Row],[Monthly Expenses Budget 2026]])*100</f>
        <v>31.586855266264568</v>
      </c>
      <c r="S5" s="15">
        <v>423855</v>
      </c>
      <c r="T5" s="15">
        <v>370662</v>
      </c>
      <c r="U5" s="15">
        <f>Table135[[#This Row],[Cumulative Expenses Budget]]-Table135[[#This Row],[Cumulative Expenses Actuals]]</f>
        <v>53193</v>
      </c>
      <c r="V5" s="16">
        <f>(Table135[[#This Row],[Cumulative Expenses Variance]]/Table135[[#This Row],[Cumulative Expenses Budget]])*100</f>
        <v>12.549810666383552</v>
      </c>
      <c r="W5" s="15">
        <v>1455867</v>
      </c>
      <c r="X5" s="15">
        <f>Table135[[#This Row],[Expenses Total Budget 2026]]-Table135[[#This Row],[Cumulative Expenses Actuals]]</f>
        <v>1085205</v>
      </c>
      <c r="Y5" s="16">
        <f>(Table135[[#This Row],[Expenses To Be Achieved ]]/Table135[[#This Row],[Expenses Total Budget 2026]])*100</f>
        <v>74.540119392774201</v>
      </c>
      <c r="Z5" s="17">
        <v>2995</v>
      </c>
      <c r="AA5" s="17">
        <v>34599</v>
      </c>
      <c r="AB5" s="17">
        <f>Table135[[#This Row],[Monthly Operational Surplus Actuals]]-Table135[[#This Row],[Monthly Operational Surplus Budget]]</f>
        <v>31604</v>
      </c>
      <c r="AC5" s="48">
        <f>(Table135[[#This Row],[Monthly Operational Surplus Variance]]/Table135[[#This Row],[Monthly Operational Surplus Budget]])*100</f>
        <v>1055.2253756260434</v>
      </c>
      <c r="AD5" s="17">
        <v>43686</v>
      </c>
      <c r="AE5" s="17">
        <v>121418</v>
      </c>
      <c r="AF5" s="17">
        <f>Table135[[#This Row],[Cumulative Operational Surplus Actuals]]-Table135[[#This Row],[Cumulative Operational Surplus Budget]]</f>
        <v>77732</v>
      </c>
      <c r="AG5" s="48">
        <f>(Table135[[#This Row],[Cumulative Operational Surplus Variance]]/Table135[[#This Row],[Cumulative Operational Surplus Budget]])*100</f>
        <v>177.93343405209907</v>
      </c>
      <c r="AH5" s="17">
        <v>396311</v>
      </c>
      <c r="AI5" s="17">
        <f>Table135[[#This Row],[Operational Surplus Total Budget 2026]]-Table135[[#This Row],[Cumulative Operational Surplus Actuals]]</f>
        <v>274893</v>
      </c>
      <c r="AJ5" s="48">
        <f>(Table135[[#This Row],[Operational Surplus To Be Achieved ]]/Table135[[#This Row],[Operational Surplus Total Budget 2026]])*100</f>
        <v>69.362949804572665</v>
      </c>
      <c r="AK5" s="18">
        <v>34080</v>
      </c>
      <c r="AL5" s="18">
        <v>40183</v>
      </c>
      <c r="AM5" s="18">
        <f>Table135[[#This Row],[Monthly Net Interest Income Actuals]]-Table135[[#This Row],[Monthly Net Interest Income Budget]]</f>
        <v>6103</v>
      </c>
      <c r="AN5" s="49">
        <f>(Table135[[#This Row],[Monthly Net Interest Income Variance]]/Table135[[#This Row],[Monthly Net Interest Income Budget]])*100</f>
        <v>17.907863849765256</v>
      </c>
      <c r="AO5" s="18">
        <v>154215</v>
      </c>
      <c r="AP5" s="18">
        <v>159971</v>
      </c>
      <c r="AQ5" s="18">
        <f>Table135[[#This Row],[Cumulative Net Interest Income Actuals]]-Table135[[#This Row],[Cumulative Net Interest Income Budget]]</f>
        <v>5756</v>
      </c>
      <c r="AR5" s="49">
        <f>(Table135[[#This Row],[Cumulative Net Interest Income Variance]]/Table135[[#This Row],[Cumulative Net Interest Income Budget]])*100</f>
        <v>3.732451447654249</v>
      </c>
      <c r="AS5" s="18">
        <v>463222</v>
      </c>
      <c r="AT5" s="18">
        <f>Table135[[#This Row],[Net Interest Income Total Budget 2026]]-Table135[[#This Row],[Cumulative Net Interest Income Actuals]]</f>
        <v>303251</v>
      </c>
      <c r="AU5" s="49">
        <f>(Table135[[#This Row],[Net Interest Income To Be Achieved ]]/Table135[[#This Row],[Net Interest Income Total Budget 2026]])*100</f>
        <v>65.465586694932455</v>
      </c>
      <c r="AV5" s="19">
        <v>37075</v>
      </c>
      <c r="AW5" s="19">
        <v>74782</v>
      </c>
      <c r="AX5" s="19">
        <f>Table135[[#This Row],[Monthly Surplus Before Tax Actuals]]-Table135[[#This Row],[Monthly Surplus Before Tax Budget]]</f>
        <v>37707</v>
      </c>
      <c r="AY5" s="34">
        <f>(Table135[[#This Row],[Monthly Surplus Before Tax Variance]]/Table135[[#This Row],[Monthly Surplus Before Tax Budget]])*100</f>
        <v>101.70465273095077</v>
      </c>
      <c r="AZ5" s="19">
        <v>197901</v>
      </c>
      <c r="BA5" s="19">
        <v>281389</v>
      </c>
      <c r="BB5" s="19">
        <f>Table135[[#This Row],[Cumulative Surplus Before Tax Actuals]]-Table135[[#This Row],[Cumulative Surplus Before Tax Budget]]</f>
        <v>83488</v>
      </c>
      <c r="BC5" s="20">
        <f>(Table135[[#This Row],[Cumulative Surplus Before Tax Variance]]/Table135[[#This Row],[Cumulative Surplus Before Tax Budget]])*100</f>
        <v>42.186749940626875</v>
      </c>
      <c r="BD5" s="19">
        <v>859533</v>
      </c>
      <c r="BE5" s="19">
        <f>Table135[[#This Row],[Surplus Before Tax Total Budget 2026]]-Table135[[#This Row],[Cumulative Surplus Before Tax Actuals]]</f>
        <v>578144</v>
      </c>
      <c r="BF5" s="21">
        <f>(Table135[[#This Row],[Surplus Before Tax To Be Achieved ]]/Table135[[#This Row],[Surplus Before Tax Total Budget 2026]])*100</f>
        <v>67.26257165228094</v>
      </c>
    </row>
    <row r="6" spans="1:58" x14ac:dyDescent="0.25">
      <c r="A6" s="10" t="s">
        <v>44</v>
      </c>
      <c r="B6" s="11">
        <v>2026</v>
      </c>
      <c r="C6" s="11" t="s">
        <v>7</v>
      </c>
      <c r="D6" s="13">
        <v>185043</v>
      </c>
      <c r="E6" s="13">
        <v>138147</v>
      </c>
      <c r="F6" s="13">
        <f>Table135[[#This Row],[Monthly Revenue Actuals ]]-Table135[[#This Row],[Monthly Revenue Budget]]</f>
        <v>-46896</v>
      </c>
      <c r="G6" s="14">
        <f>(Table135[[#This Row],[Monthly Revenue Variance ]]/Table135[[#This Row],[Monthly Revenue Budget]])*100</f>
        <v>-25.343298584653297</v>
      </c>
      <c r="H6" s="13">
        <v>879633</v>
      </c>
      <c r="I6" s="13">
        <v>852597</v>
      </c>
      <c r="J6" s="13">
        <f>Table135[[#This Row],[Cumulative Revenue Actuals ]]-Table135[[#This Row],[Cumulative Revenue Budget]]</f>
        <v>-27036</v>
      </c>
      <c r="K6" s="14">
        <f>(Table135[[#This Row],[Cumulative Revenue Variance ]]/Table135[[#This Row],[Cumulative Revenue Budget]])*100</f>
        <v>-3.0735545392226076</v>
      </c>
      <c r="L6" s="13">
        <v>2560070</v>
      </c>
      <c r="M6" s="13">
        <f>Table135[[#This Row],[Revenue Total Budget ]]-Table135[[#This Row],[Cumulative Revenue Actuals ]]</f>
        <v>1707473</v>
      </c>
      <c r="N6" s="14">
        <f>(Table135[[#This Row],[Revenue To Be Achieved ]]/Table135[[#This Row],[Revenue Total Budget ]])*100</f>
        <v>66.696340334443988</v>
      </c>
      <c r="O6" s="15">
        <v>99753</v>
      </c>
      <c r="P6" s="15">
        <v>71398</v>
      </c>
      <c r="Q6" s="15">
        <f>Table135[[#This Row],[Monthly Expenses Budget 2026]]-Table135[[#This Row],[Monthly Expenses Actuals]]</f>
        <v>28355</v>
      </c>
      <c r="R6" s="16">
        <f>(Table135[[#This Row],[Monthly Expenses Variance]]/Table135[[#This Row],[Monthly Expenses Budget 2026]])*100</f>
        <v>28.42521026936533</v>
      </c>
      <c r="S6" s="15">
        <v>523608</v>
      </c>
      <c r="T6" s="15">
        <v>442257</v>
      </c>
      <c r="U6" s="15">
        <f>Table135[[#This Row],[Cumulative Expenses Budget]]-Table135[[#This Row],[Cumulative Expenses Actuals]]</f>
        <v>81351</v>
      </c>
      <c r="V6" s="16">
        <f>(Table135[[#This Row],[Cumulative Expenses Variance]]/Table135[[#This Row],[Cumulative Expenses Budget]])*100</f>
        <v>15.536622817069256</v>
      </c>
      <c r="W6" s="15">
        <v>1455867</v>
      </c>
      <c r="X6" s="15">
        <f>Table135[[#This Row],[Expenses Total Budget 2026]]-Table135[[#This Row],[Cumulative Expenses Actuals]]</f>
        <v>1013610</v>
      </c>
      <c r="Y6" s="16">
        <f>(Table135[[#This Row],[Expenses To Be Achieved ]]/Table135[[#This Row],[Expenses Total Budget 2026]])*100</f>
        <v>69.622431169880215</v>
      </c>
      <c r="Z6" s="17">
        <v>35671</v>
      </c>
      <c r="AA6" s="17">
        <v>12670</v>
      </c>
      <c r="AB6" s="17">
        <f>Table135[[#This Row],[Monthly Operational Surplus Actuals]]-Table135[[#This Row],[Monthly Operational Surplus Budget]]</f>
        <v>-23001</v>
      </c>
      <c r="AC6" s="48">
        <f>(Table135[[#This Row],[Monthly Operational Surplus Variance]]/Table135[[#This Row],[Monthly Operational Surplus Budget]])*100</f>
        <v>-64.480950912505946</v>
      </c>
      <c r="AD6" s="17">
        <v>79356</v>
      </c>
      <c r="AE6" s="17">
        <v>133850</v>
      </c>
      <c r="AF6" s="17">
        <f>Table135[[#This Row],[Cumulative Operational Surplus Actuals]]-Table135[[#This Row],[Cumulative Operational Surplus Budget]]</f>
        <v>54494</v>
      </c>
      <c r="AG6" s="48">
        <f>(Table135[[#This Row],[Cumulative Operational Surplus Variance]]/Table135[[#This Row],[Cumulative Operational Surplus Budget]])*100</f>
        <v>68.670295881848887</v>
      </c>
      <c r="AH6" s="17">
        <v>393605</v>
      </c>
      <c r="AI6" s="17">
        <f>Table135[[#This Row],[Operational Surplus Total Budget 2026]]-Table135[[#This Row],[Cumulative Operational Surplus Actuals]]</f>
        <v>259755</v>
      </c>
      <c r="AJ6" s="48">
        <f>(Table135[[#This Row],[Operational Surplus To Be Achieved ]]/Table135[[#This Row],[Operational Surplus Total Budget 2026]])*100</f>
        <v>65.993826297938284</v>
      </c>
      <c r="AK6" s="18">
        <v>37754</v>
      </c>
      <c r="AL6" s="18">
        <v>39093</v>
      </c>
      <c r="AM6" s="18">
        <f>Table135[[#This Row],[Monthly Net Interest Income Actuals]]-Table135[[#This Row],[Monthly Net Interest Income Budget]]</f>
        <v>1339</v>
      </c>
      <c r="AN6" s="49">
        <f>(Table135[[#This Row],[Monthly Net Interest Income Variance]]/Table135[[#This Row],[Monthly Net Interest Income Budget]])*100</f>
        <v>3.5466440642051169</v>
      </c>
      <c r="AO6" s="18">
        <v>191969</v>
      </c>
      <c r="AP6" s="18">
        <v>199063</v>
      </c>
      <c r="AQ6" s="18">
        <f>Table135[[#This Row],[Cumulative Net Interest Income Actuals]]-Table135[[#This Row],[Cumulative Net Interest Income Budget]]</f>
        <v>7094</v>
      </c>
      <c r="AR6" s="49">
        <f>(Table135[[#This Row],[Cumulative Net Interest Income Variance]]/Table135[[#This Row],[Cumulative Net Interest Income Budget]])*100</f>
        <v>3.6953883179054952</v>
      </c>
      <c r="AS6" s="18">
        <v>463222</v>
      </c>
      <c r="AT6" s="18">
        <f>Table135[[#This Row],[Net Interest Income Total Budget 2026]]-Table135[[#This Row],[Cumulative Net Interest Income Actuals]]</f>
        <v>264159</v>
      </c>
      <c r="AU6" s="49">
        <f>(Table135[[#This Row],[Net Interest Income To Be Achieved ]]/Table135[[#This Row],[Net Interest Income Total Budget 2026]])*100</f>
        <v>57.026436568211359</v>
      </c>
      <c r="AV6" s="19">
        <v>73424</v>
      </c>
      <c r="AW6" s="19">
        <v>51763</v>
      </c>
      <c r="AX6" s="19">
        <f>Table135[[#This Row],[Monthly Surplus Before Tax Actuals]]-Table135[[#This Row],[Monthly Surplus Before Tax Budget]]</f>
        <v>-21661</v>
      </c>
      <c r="AY6" s="34">
        <f>(Table135[[#This Row],[Monthly Surplus Before Tax Variance]]/Table135[[#This Row],[Monthly Surplus Before Tax Budget]])*100</f>
        <v>-29.501252996295491</v>
      </c>
      <c r="AZ6" s="19">
        <v>271325</v>
      </c>
      <c r="BA6" s="19">
        <v>332913</v>
      </c>
      <c r="BB6" s="19">
        <f>Table135[[#This Row],[Cumulative Surplus Before Tax Actuals]]-Table135[[#This Row],[Cumulative Surplus Before Tax Budget]]</f>
        <v>61588</v>
      </c>
      <c r="BC6" s="20">
        <f>(Table135[[#This Row],[Cumulative Surplus Before Tax Variance]]/Table135[[#This Row],[Cumulative Surplus Before Tax Budget]])*100</f>
        <v>22.698977241315767</v>
      </c>
      <c r="BD6" s="19">
        <v>856827</v>
      </c>
      <c r="BE6" s="19">
        <f>Table135[[#This Row],[Surplus Before Tax Total Budget 2026]]-Table135[[#This Row],[Cumulative Surplus Before Tax Actuals]]</f>
        <v>523914</v>
      </c>
      <c r="BF6" s="21">
        <f>(Table135[[#This Row],[Surplus Before Tax To Be Achieved ]]/Table135[[#This Row],[Surplus Before Tax Total Budget 2026]])*100</f>
        <v>61.145832239180145</v>
      </c>
    </row>
    <row r="7" spans="1:58" x14ac:dyDescent="0.25">
      <c r="A7" s="10" t="s">
        <v>44</v>
      </c>
      <c r="B7" s="11">
        <v>2026</v>
      </c>
      <c r="C7" s="22" t="s">
        <v>8</v>
      </c>
      <c r="D7" s="13">
        <v>282755</v>
      </c>
      <c r="E7" s="13">
        <v>268076</v>
      </c>
      <c r="F7" s="13">
        <f>Table135[[#This Row],[Monthly Revenue Actuals ]]-Table135[[#This Row],[Monthly Revenue Budget]]</f>
        <v>-14679</v>
      </c>
      <c r="G7" s="14">
        <f>(Table135[[#This Row],[Monthly Revenue Variance ]]/Table135[[#This Row],[Monthly Revenue Budget]])*100</f>
        <v>-5.1914201340383022</v>
      </c>
      <c r="H7" s="13">
        <v>1162389</v>
      </c>
      <c r="I7" s="13">
        <v>1120764</v>
      </c>
      <c r="J7" s="13">
        <f>Table135[[#This Row],[Cumulative Revenue Actuals ]]-Table135[[#This Row],[Cumulative Revenue Budget]]</f>
        <v>-41625</v>
      </c>
      <c r="K7" s="14">
        <f>(Table135[[#This Row],[Cumulative Revenue Variance ]]/Table135[[#This Row],[Cumulative Revenue Budget]])*100</f>
        <v>-3.5809870877993513</v>
      </c>
      <c r="L7" s="13">
        <v>2560070</v>
      </c>
      <c r="M7" s="13">
        <f>Table135[[#This Row],[Revenue Total Budget ]]-Table135[[#This Row],[Cumulative Revenue Actuals ]]</f>
        <v>1439306</v>
      </c>
      <c r="N7" s="14">
        <f>(Table135[[#This Row],[Revenue To Be Achieved ]]/Table135[[#This Row],[Revenue Total Budget ]])*100</f>
        <v>56.221353322370092</v>
      </c>
      <c r="O7" s="15">
        <v>131149</v>
      </c>
      <c r="P7" s="15">
        <v>122701</v>
      </c>
      <c r="Q7" s="15">
        <f>Table135[[#This Row],[Monthly Expenses Budget 2026]]-Table135[[#This Row],[Monthly Expenses Actuals]]</f>
        <v>8448</v>
      </c>
      <c r="R7" s="16">
        <f>(Table135[[#This Row],[Monthly Expenses Variance]]/Table135[[#This Row],[Monthly Expenses Budget 2026]])*100</f>
        <v>6.4415283379972408</v>
      </c>
      <c r="S7" s="15">
        <v>653063</v>
      </c>
      <c r="T7" s="15">
        <v>557209</v>
      </c>
      <c r="U7" s="15">
        <f>Table135[[#This Row],[Cumulative Expenses Budget]]-Table135[[#This Row],[Cumulative Expenses Actuals]]</f>
        <v>95854</v>
      </c>
      <c r="V7" s="16">
        <f>(Table135[[#This Row],[Cumulative Expenses Variance]]/Table135[[#This Row],[Cumulative Expenses Budget]])*100</f>
        <v>14.677603845264544</v>
      </c>
      <c r="W7" s="15">
        <v>1455867</v>
      </c>
      <c r="X7" s="15">
        <f>Table135[[#This Row],[Expenses Total Budget 2026]]-Table135[[#This Row],[Cumulative Expenses Actuals]]</f>
        <v>898658</v>
      </c>
      <c r="Y7" s="16">
        <f>(Table135[[#This Row],[Expenses To Be Achieved ]]/Table135[[#This Row],[Expenses Total Budget 2026]])*100</f>
        <v>61.726654976038333</v>
      </c>
      <c r="Z7" s="17">
        <v>90374</v>
      </c>
      <c r="AA7" s="17">
        <v>96635</v>
      </c>
      <c r="AB7" s="17">
        <f>Table135[[#This Row],[Monthly Operational Surplus Actuals]]-Table135[[#This Row],[Monthly Operational Surplus Budget]]</f>
        <v>6261</v>
      </c>
      <c r="AC7" s="48">
        <f>(Table135[[#This Row],[Monthly Operational Surplus Variance]]/Table135[[#This Row],[Monthly Operational Surplus Budget]])*100</f>
        <v>6.9278774868878221</v>
      </c>
      <c r="AD7" s="17">
        <v>171424</v>
      </c>
      <c r="AE7" s="17">
        <v>238282</v>
      </c>
      <c r="AF7" s="17">
        <f>Table135[[#This Row],[Cumulative Operational Surplus Actuals]]-Table135[[#This Row],[Cumulative Operational Surplus Budget]]</f>
        <v>66858</v>
      </c>
      <c r="AG7" s="48">
        <f>(Table135[[#This Row],[Cumulative Operational Surplus Variance]]/Table135[[#This Row],[Cumulative Operational Surplus Budget]])*100</f>
        <v>39.001540041067763</v>
      </c>
      <c r="AH7" s="17">
        <v>393605</v>
      </c>
      <c r="AI7" s="17">
        <f>Table135[[#This Row],[Operational Surplus Total Budget 2026]]-Table135[[#This Row],[Cumulative Operational Surplus Actuals]]</f>
        <v>155323</v>
      </c>
      <c r="AJ7" s="48">
        <f>(Table135[[#This Row],[Operational Surplus To Be Achieved ]]/Table135[[#This Row],[Operational Surplus Total Budget 2026]])*100</f>
        <v>39.461643017746219</v>
      </c>
      <c r="AK7" s="18">
        <v>37754</v>
      </c>
      <c r="AL7" s="18">
        <v>36685</v>
      </c>
      <c r="AM7" s="18">
        <f>Table135[[#This Row],[Monthly Net Interest Income Actuals]]-Table135[[#This Row],[Monthly Net Interest Income Budget]]</f>
        <v>-1069</v>
      </c>
      <c r="AN7" s="49">
        <f>(Table135[[#This Row],[Monthly Net Interest Income Variance]]/Table135[[#This Row],[Monthly Net Interest Income Budget]])*100</f>
        <v>-2.831488054245908</v>
      </c>
      <c r="AO7" s="18">
        <v>229666</v>
      </c>
      <c r="AP7" s="18">
        <v>235768</v>
      </c>
      <c r="AQ7" s="18">
        <f>Table135[[#This Row],[Cumulative Net Interest Income Actuals]]-Table135[[#This Row],[Cumulative Net Interest Income Budget]]</f>
        <v>6102</v>
      </c>
      <c r="AR7" s="49">
        <f>(Table135[[#This Row],[Cumulative Net Interest Income Variance]]/Table135[[#This Row],[Cumulative Net Interest Income Budget]])*100</f>
        <v>2.6569017616887134</v>
      </c>
      <c r="AS7" s="18">
        <v>463222</v>
      </c>
      <c r="AT7" s="18">
        <f>Table135[[#This Row],[Net Interest Income Total Budget 2026]]-Table135[[#This Row],[Cumulative Net Interest Income Actuals]]</f>
        <v>227454</v>
      </c>
      <c r="AU7" s="49">
        <f>(Table135[[#This Row],[Net Interest Income To Be Achieved ]]/Table135[[#This Row],[Net Interest Income Total Budget 2026]])*100</f>
        <v>49.102590118776739</v>
      </c>
      <c r="AV7" s="19">
        <v>128128</v>
      </c>
      <c r="AW7" s="19">
        <v>133320</v>
      </c>
      <c r="AX7" s="19">
        <f>Table135[[#This Row],[Monthly Surplus Before Tax Actuals]]-Table135[[#This Row],[Monthly Surplus Before Tax Budget]]</f>
        <v>5192</v>
      </c>
      <c r="AY7" s="34">
        <f>(Table135[[#This Row],[Monthly Surplus Before Tax Variance]]/Table135[[#This Row],[Monthly Surplus Before Tax Budget]])*100</f>
        <v>4.052197802197802</v>
      </c>
      <c r="AZ7" s="19">
        <v>401090</v>
      </c>
      <c r="BA7" s="19">
        <v>474050</v>
      </c>
      <c r="BB7" s="19">
        <f>Table135[[#This Row],[Cumulative Surplus Before Tax Actuals]]-Table135[[#This Row],[Cumulative Surplus Before Tax Budget]]</f>
        <v>72960</v>
      </c>
      <c r="BC7" s="20">
        <f>(Table135[[#This Row],[Cumulative Surplus Before Tax Variance]]/Table135[[#This Row],[Cumulative Surplus Before Tax Budget]])*100</f>
        <v>18.190431075319754</v>
      </c>
      <c r="BD7" s="19">
        <v>856827</v>
      </c>
      <c r="BE7" s="19">
        <f>Table135[[#This Row],[Surplus Before Tax Total Budget 2026]]-Table135[[#This Row],[Cumulative Surplus Before Tax Actuals]]</f>
        <v>382777</v>
      </c>
      <c r="BF7" s="21">
        <f>(Table135[[#This Row],[Surplus Before Tax To Be Achieved ]]/Table135[[#This Row],[Surplus Before Tax Total Budget 2026]])*100</f>
        <v>44.673778954211294</v>
      </c>
    </row>
    <row r="8" spans="1:58" x14ac:dyDescent="0.25">
      <c r="A8" s="10" t="s">
        <v>44</v>
      </c>
      <c r="B8" s="11">
        <v>2026</v>
      </c>
      <c r="C8" s="11" t="s">
        <v>9</v>
      </c>
      <c r="D8" s="13">
        <v>178350</v>
      </c>
      <c r="E8" s="13">
        <v>159410</v>
      </c>
      <c r="F8" s="13">
        <f>Table135[[#This Row],[Monthly Revenue Actuals ]]-Table135[[#This Row],[Monthly Revenue Budget]]</f>
        <v>-18940</v>
      </c>
      <c r="G8" s="14">
        <f>(Table135[[#This Row],[Monthly Revenue Variance ]]/Table135[[#This Row],[Monthly Revenue Budget]])*100</f>
        <v>-10.619568264648164</v>
      </c>
      <c r="H8" s="13">
        <v>1340738</v>
      </c>
      <c r="I8" s="13">
        <v>1280175</v>
      </c>
      <c r="J8" s="13">
        <f>Table135[[#This Row],[Cumulative Revenue Actuals ]]-Table135[[#This Row],[Cumulative Revenue Budget]]</f>
        <v>-60563</v>
      </c>
      <c r="K8" s="14">
        <f>(Table135[[#This Row],[Cumulative Revenue Variance ]]/Table135[[#This Row],[Cumulative Revenue Budget]])*100</f>
        <v>-4.5171390681848358</v>
      </c>
      <c r="L8" s="13">
        <v>2560070</v>
      </c>
      <c r="M8" s="13">
        <f>Table135[[#This Row],[Revenue Total Budget ]]-Table135[[#This Row],[Cumulative Revenue Actuals ]]</f>
        <v>1279895</v>
      </c>
      <c r="N8" s="14">
        <f>(Table135[[#This Row],[Revenue To Be Achieved ]]/Table135[[#This Row],[Revenue Total Budget ]])*100</f>
        <v>49.994531399532043</v>
      </c>
      <c r="O8" s="15">
        <v>92602</v>
      </c>
      <c r="P8" s="15">
        <v>88431</v>
      </c>
      <c r="Q8" s="15">
        <f>Table135[[#This Row],[Monthly Expenses Budget 2026]]-Table135[[#This Row],[Monthly Expenses Actuals]]</f>
        <v>4171</v>
      </c>
      <c r="R8" s="16">
        <f>(Table135[[#This Row],[Monthly Expenses Variance]]/Table135[[#This Row],[Monthly Expenses Budget 2026]])*100</f>
        <v>4.5042223710071054</v>
      </c>
      <c r="S8" s="15">
        <v>745516</v>
      </c>
      <c r="T8" s="15">
        <v>646671</v>
      </c>
      <c r="U8" s="15">
        <f>Table135[[#This Row],[Cumulative Expenses Budget]]-Table135[[#This Row],[Cumulative Expenses Actuals]]</f>
        <v>98845</v>
      </c>
      <c r="V8" s="16">
        <f>(Table135[[#This Row],[Cumulative Expenses Variance]]/Table135[[#This Row],[Cumulative Expenses Budget]])*100</f>
        <v>13.258602095729669</v>
      </c>
      <c r="W8" s="15">
        <v>1455867</v>
      </c>
      <c r="X8" s="15">
        <f>Table135[[#This Row],[Expenses Total Budget 2026]]-Table135[[#This Row],[Cumulative Expenses Actuals]]</f>
        <v>809196</v>
      </c>
      <c r="Y8" s="16">
        <f>(Table135[[#This Row],[Expenses To Be Achieved ]]/Table135[[#This Row],[Expenses Total Budget 2026]])*100</f>
        <v>55.581725528499518</v>
      </c>
      <c r="Z8" s="17">
        <v>32876</v>
      </c>
      <c r="AA8" s="17">
        <v>12422</v>
      </c>
      <c r="AB8" s="17">
        <f>Table135[[#This Row],[Monthly Operational Surplus Actuals]]-Table135[[#This Row],[Monthly Operational Surplus Budget]]</f>
        <v>-20454</v>
      </c>
      <c r="AC8" s="48">
        <f>(Table135[[#This Row],[Monthly Operational Surplus Variance]]/Table135[[#This Row],[Monthly Operational Surplus Budget]])*100</f>
        <v>-62.21559800462343</v>
      </c>
      <c r="AD8" s="17">
        <v>204449</v>
      </c>
      <c r="AE8" s="17">
        <v>249674</v>
      </c>
      <c r="AF8" s="17">
        <f>Table135[[#This Row],[Cumulative Operational Surplus Actuals]]-Table135[[#This Row],[Cumulative Operational Surplus Budget]]</f>
        <v>45225</v>
      </c>
      <c r="AG8" s="48">
        <f>(Table135[[#This Row],[Cumulative Operational Surplus Variance]]/Table135[[#This Row],[Cumulative Operational Surplus Budget]])*100</f>
        <v>22.120431012135057</v>
      </c>
      <c r="AH8" s="17">
        <v>393605</v>
      </c>
      <c r="AI8" s="17">
        <f>Table135[[#This Row],[Operational Surplus Total Budget 2026]]-Table135[[#This Row],[Cumulative Operational Surplus Actuals]]</f>
        <v>143931</v>
      </c>
      <c r="AJ8" s="48">
        <f>(Table135[[#This Row],[Operational Surplus To Be Achieved ]]/Table135[[#This Row],[Operational Surplus Total Budget 2026]])*100</f>
        <v>36.567370841325697</v>
      </c>
      <c r="AK8" s="18">
        <v>37754</v>
      </c>
      <c r="AL8" s="18">
        <v>39873</v>
      </c>
      <c r="AM8" s="18">
        <f>Table135[[#This Row],[Monthly Net Interest Income Actuals]]-Table135[[#This Row],[Monthly Net Interest Income Budget]]</f>
        <v>2119</v>
      </c>
      <c r="AN8" s="49">
        <f>(Table135[[#This Row],[Monthly Net Interest Income Variance]]/Table135[[#This Row],[Monthly Net Interest Income Budget]])*100</f>
        <v>5.6126503151983895</v>
      </c>
      <c r="AO8" s="18">
        <v>267414</v>
      </c>
      <c r="AP8" s="18">
        <v>275353</v>
      </c>
      <c r="AQ8" s="18">
        <f>Table135[[#This Row],[Cumulative Net Interest Income Actuals]]-Table135[[#This Row],[Cumulative Net Interest Income Budget]]</f>
        <v>7939</v>
      </c>
      <c r="AR8" s="49">
        <f>(Table135[[#This Row],[Cumulative Net Interest Income Variance]]/Table135[[#This Row],[Cumulative Net Interest Income Budget]])*100</f>
        <v>2.9688049241999295</v>
      </c>
      <c r="AS8" s="18">
        <v>463222</v>
      </c>
      <c r="AT8" s="18">
        <f>Table135[[#This Row],[Net Interest Income Total Budget 2026]]-Table135[[#This Row],[Cumulative Net Interest Income Actuals]]</f>
        <v>187869</v>
      </c>
      <c r="AU8" s="49">
        <f>(Table135[[#This Row],[Net Interest Income To Be Achieved ]]/Table135[[#This Row],[Net Interest Income Total Budget 2026]])*100</f>
        <v>40.557011540902636</v>
      </c>
      <c r="AV8" s="19">
        <v>70629</v>
      </c>
      <c r="AW8" s="19">
        <v>52295</v>
      </c>
      <c r="AX8" s="19">
        <f>Table135[[#This Row],[Monthly Surplus Before Tax Actuals]]-Table135[[#This Row],[Monthly Surplus Before Tax Budget]]</f>
        <v>-18334</v>
      </c>
      <c r="AY8" s="34">
        <f>(Table135[[#This Row],[Monthly Surplus Before Tax Variance]]/Table135[[#This Row],[Monthly Surplus Before Tax Budget]])*100</f>
        <v>-25.958175820130542</v>
      </c>
      <c r="AZ8" s="19">
        <v>471863</v>
      </c>
      <c r="BA8" s="19">
        <v>525027</v>
      </c>
      <c r="BB8" s="19">
        <f>Table135[[#This Row],[Cumulative Surplus Before Tax Actuals]]-Table135[[#This Row],[Cumulative Surplus Before Tax Budget]]</f>
        <v>53164</v>
      </c>
      <c r="BC8" s="20">
        <f>(Table135[[#This Row],[Cumulative Surplus Before Tax Variance]]/Table135[[#This Row],[Cumulative Surplus Before Tax Budget]])*100</f>
        <v>11.26682956705654</v>
      </c>
      <c r="BD8" s="19">
        <v>856827</v>
      </c>
      <c r="BE8" s="19">
        <f>Table135[[#This Row],[Surplus Before Tax Total Budget 2026]]-Table135[[#This Row],[Cumulative Surplus Before Tax Actuals]]</f>
        <v>331800</v>
      </c>
      <c r="BF8" s="21">
        <f>(Table135[[#This Row],[Surplus Before Tax To Be Achieved ]]/Table135[[#This Row],[Surplus Before Tax Total Budget 2026]])*100</f>
        <v>38.724269893455734</v>
      </c>
    </row>
    <row r="9" spans="1:58" x14ac:dyDescent="0.25">
      <c r="A9" s="10" t="s">
        <v>44</v>
      </c>
      <c r="B9" s="11">
        <v>2026</v>
      </c>
      <c r="C9" s="22" t="s">
        <v>10</v>
      </c>
      <c r="D9" s="13">
        <v>151748</v>
      </c>
      <c r="E9" s="13">
        <v>154889</v>
      </c>
      <c r="F9" s="13">
        <f>Table135[[#This Row],[Monthly Revenue Actuals ]]-Table135[[#This Row],[Monthly Revenue Budget]]</f>
        <v>3141</v>
      </c>
      <c r="G9" s="14">
        <f>(Table135[[#This Row],[Monthly Revenue Variance ]]/Table135[[#This Row],[Monthly Revenue Budget]])*100</f>
        <v>2.0698790099375279</v>
      </c>
      <c r="H9" s="13">
        <v>1492487</v>
      </c>
      <c r="I9" s="13">
        <v>1435064</v>
      </c>
      <c r="J9" s="13">
        <f>Table135[[#This Row],[Cumulative Revenue Actuals ]]-Table135[[#This Row],[Cumulative Revenue Budget]]</f>
        <v>-57423</v>
      </c>
      <c r="K9" s="14">
        <f>(Table135[[#This Row],[Cumulative Revenue Variance ]]/Table135[[#This Row],[Cumulative Revenue Budget]])*100</f>
        <v>-3.8474706982372373</v>
      </c>
      <c r="L9" s="13">
        <v>2560070</v>
      </c>
      <c r="M9" s="13">
        <f>Table135[[#This Row],[Revenue Total Budget ]]-Table135[[#This Row],[Cumulative Revenue Actuals ]]</f>
        <v>1125006</v>
      </c>
      <c r="N9" s="14">
        <f>(Table135[[#This Row],[Revenue To Be Achieved ]]/Table135[[#This Row],[Revenue Total Budget ]])*100</f>
        <v>43.944345271808977</v>
      </c>
      <c r="O9" s="15">
        <v>95734</v>
      </c>
      <c r="P9" s="15">
        <v>79572</v>
      </c>
      <c r="Q9" s="15">
        <f>Table135[[#This Row],[Monthly Expenses Budget 2026]]-Table135[[#This Row],[Monthly Expenses Actuals]]</f>
        <v>16162</v>
      </c>
      <c r="R9" s="16">
        <f>(Table135[[#This Row],[Monthly Expenses Variance]]/Table135[[#This Row],[Monthly Expenses Budget 2026]])*100</f>
        <v>16.882194413687927</v>
      </c>
      <c r="S9" s="15">
        <v>840519</v>
      </c>
      <c r="T9" s="15">
        <v>726466</v>
      </c>
      <c r="U9" s="15">
        <f>Table135[[#This Row],[Cumulative Expenses Budget]]-Table135[[#This Row],[Cumulative Expenses Actuals]]</f>
        <v>114053</v>
      </c>
      <c r="V9" s="16">
        <f>(Table135[[#This Row],[Cumulative Expenses Variance]]/Table135[[#This Row],[Cumulative Expenses Budget]])*100</f>
        <v>13.56935417283845</v>
      </c>
      <c r="W9" s="15">
        <v>1455867</v>
      </c>
      <c r="X9" s="15">
        <f>Table135[[#This Row],[Expenses Total Budget 2026]]-Table135[[#This Row],[Cumulative Expenses Actuals]]</f>
        <v>729401</v>
      </c>
      <c r="Y9" s="16">
        <f>(Table135[[#This Row],[Expenses To Be Achieved ]]/Table135[[#This Row],[Expenses Total Budget 2026]])*100</f>
        <v>50.100799042769708</v>
      </c>
      <c r="Z9" s="17">
        <v>3807</v>
      </c>
      <c r="AA9" s="17">
        <v>16984</v>
      </c>
      <c r="AB9" s="17">
        <f>Table135[[#This Row],[Monthly Operational Surplus Actuals]]-Table135[[#This Row],[Monthly Operational Surplus Budget]]</f>
        <v>13177</v>
      </c>
      <c r="AC9" s="48">
        <f>(Table135[[#This Row],[Monthly Operational Surplus Variance]]/Table135[[#This Row],[Monthly Operational Surplus Budget]])*100</f>
        <v>346.12555818229578</v>
      </c>
      <c r="AD9" s="17">
        <v>208987</v>
      </c>
      <c r="AE9" s="17">
        <v>266434</v>
      </c>
      <c r="AF9" s="17">
        <f>Table135[[#This Row],[Cumulative Operational Surplus Actuals]]-Table135[[#This Row],[Cumulative Operational Surplus Budget]]</f>
        <v>57447</v>
      </c>
      <c r="AG9" s="48">
        <f>(Table135[[#This Row],[Cumulative Operational Surplus Variance]]/Table135[[#This Row],[Cumulative Operational Surplus Budget]])*100</f>
        <v>27.488312670166088</v>
      </c>
      <c r="AH9" s="17">
        <v>393605</v>
      </c>
      <c r="AI9" s="17">
        <f>Table135[[#This Row],[Operational Surplus Total Budget 2026]]-Table135[[#This Row],[Cumulative Operational Surplus Actuals]]</f>
        <v>127171</v>
      </c>
      <c r="AJ9" s="48">
        <f>(Table135[[#This Row],[Operational Surplus To Be Achieved ]]/Table135[[#This Row],[Operational Surplus Total Budget 2026]])*100</f>
        <v>32.30929485143735</v>
      </c>
      <c r="AK9" s="18">
        <v>37764</v>
      </c>
      <c r="AL9" s="18">
        <v>39703</v>
      </c>
      <c r="AM9" s="18">
        <f>Table135[[#This Row],[Monthly Net Interest Income Actuals]]-Table135[[#This Row],[Monthly Net Interest Income Budget]]</f>
        <v>1939</v>
      </c>
      <c r="AN9" s="49">
        <f>(Table135[[#This Row],[Monthly Net Interest Income Variance]]/Table135[[#This Row],[Monthly Net Interest Income Budget]])*100</f>
        <v>5.1345196483423363</v>
      </c>
      <c r="AO9" s="18">
        <v>305178</v>
      </c>
      <c r="AP9" s="18">
        <v>315055</v>
      </c>
      <c r="AQ9" s="18">
        <f>Table135[[#This Row],[Cumulative Net Interest Income Actuals]]-Table135[[#This Row],[Cumulative Net Interest Income Budget]]</f>
        <v>9877</v>
      </c>
      <c r="AR9" s="49">
        <f>(Table135[[#This Row],[Cumulative Net Interest Income Variance]]/Table135[[#This Row],[Cumulative Net Interest Income Budget]])*100</f>
        <v>3.2364718295552106</v>
      </c>
      <c r="AS9" s="18">
        <v>463222</v>
      </c>
      <c r="AT9" s="18">
        <f>Table135[[#This Row],[Net Interest Income Total Budget 2026]]-Table135[[#This Row],[Cumulative Net Interest Income Actuals]]</f>
        <v>148167</v>
      </c>
      <c r="AU9" s="49">
        <f>(Table135[[#This Row],[Net Interest Income To Be Achieved ]]/Table135[[#This Row],[Net Interest Income Total Budget 2026]])*100</f>
        <v>31.986175095310671</v>
      </c>
      <c r="AV9" s="19">
        <v>41571</v>
      </c>
      <c r="AW9" s="19">
        <v>56686</v>
      </c>
      <c r="AX9" s="19">
        <f>Table135[[#This Row],[Monthly Surplus Before Tax Actuals]]-Table135[[#This Row],[Monthly Surplus Before Tax Budget]]</f>
        <v>15115</v>
      </c>
      <c r="AY9" s="34">
        <f>(Table135[[#This Row],[Monthly Surplus Before Tax Variance]]/Table135[[#This Row],[Monthly Surplus Before Tax Budget]])*100</f>
        <v>36.359481369223737</v>
      </c>
      <c r="AZ9" s="19">
        <v>514165</v>
      </c>
      <c r="BA9" s="19">
        <v>581490</v>
      </c>
      <c r="BB9" s="19">
        <f>Table135[[#This Row],[Cumulative Surplus Before Tax Actuals]]-Table135[[#This Row],[Cumulative Surplus Before Tax Budget]]</f>
        <v>67325</v>
      </c>
      <c r="BC9" s="20">
        <f>(Table135[[#This Row],[Cumulative Surplus Before Tax Variance]]/Table135[[#This Row],[Cumulative Surplus Before Tax Budget]])*100</f>
        <v>13.094045685723454</v>
      </c>
      <c r="BD9" s="19">
        <v>856827</v>
      </c>
      <c r="BE9" s="19">
        <f>Table135[[#This Row],[Surplus Before Tax Total Budget 2026]]-Table135[[#This Row],[Cumulative Surplus Before Tax Actuals]]</f>
        <v>275337</v>
      </c>
      <c r="BF9" s="21">
        <f>(Table135[[#This Row],[Surplus Before Tax To Be Achieved ]]/Table135[[#This Row],[Surplus Before Tax Total Budget 2026]])*100</f>
        <v>32.134491560139914</v>
      </c>
    </row>
    <row r="10" spans="1:58" x14ac:dyDescent="0.25">
      <c r="A10" s="10" t="s">
        <v>44</v>
      </c>
      <c r="B10" s="11">
        <v>2026</v>
      </c>
      <c r="C10" s="11" t="s">
        <v>11</v>
      </c>
      <c r="D10" s="13"/>
      <c r="E10" s="13"/>
      <c r="F10" s="13"/>
      <c r="G10" s="14"/>
      <c r="H10" s="13"/>
      <c r="I10" s="13"/>
      <c r="J10" s="13"/>
      <c r="K10" s="14"/>
      <c r="L10" s="13"/>
      <c r="M10" s="13"/>
      <c r="N10" s="14"/>
      <c r="O10" s="15"/>
      <c r="P10" s="15"/>
      <c r="Q10" s="15"/>
      <c r="R10" s="16"/>
      <c r="S10" s="15"/>
      <c r="T10" s="15"/>
      <c r="U10" s="15"/>
      <c r="V10" s="16"/>
      <c r="W10" s="15"/>
      <c r="X10" s="15"/>
      <c r="Y10" s="16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9"/>
      <c r="AW10" s="19"/>
      <c r="AX10" s="19"/>
      <c r="AY10" s="20"/>
      <c r="AZ10" s="19"/>
      <c r="BA10" s="19"/>
      <c r="BB10" s="19"/>
      <c r="BC10" s="20"/>
      <c r="BD10" s="19"/>
      <c r="BE10" s="19"/>
      <c r="BF10" s="21"/>
    </row>
    <row r="11" spans="1:58" x14ac:dyDescent="0.25">
      <c r="A11" s="10" t="s">
        <v>44</v>
      </c>
      <c r="B11" s="11">
        <v>2026</v>
      </c>
      <c r="C11" s="22" t="s">
        <v>12</v>
      </c>
      <c r="D11" s="13"/>
      <c r="E11" s="13"/>
      <c r="F11" s="13"/>
      <c r="G11" s="14"/>
      <c r="H11" s="13"/>
      <c r="I11" s="13"/>
      <c r="J11" s="13"/>
      <c r="K11" s="14"/>
      <c r="L11" s="13"/>
      <c r="M11" s="13"/>
      <c r="N11" s="14"/>
      <c r="O11" s="15"/>
      <c r="P11" s="15"/>
      <c r="Q11" s="15"/>
      <c r="R11" s="16"/>
      <c r="S11" s="15"/>
      <c r="T11" s="15"/>
      <c r="U11" s="15"/>
      <c r="V11" s="16"/>
      <c r="W11" s="15"/>
      <c r="X11" s="15"/>
      <c r="Y11" s="16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9"/>
      <c r="AW11" s="19"/>
      <c r="AX11" s="19"/>
      <c r="AY11" s="20"/>
      <c r="AZ11" s="19"/>
      <c r="BA11" s="19"/>
      <c r="BB11" s="19"/>
      <c r="BC11" s="20"/>
      <c r="BD11" s="19"/>
      <c r="BE11" s="19"/>
      <c r="BF11" s="21"/>
    </row>
    <row r="12" spans="1:58" x14ac:dyDescent="0.25">
      <c r="A12" s="10" t="s">
        <v>44</v>
      </c>
      <c r="B12" s="11">
        <v>2026</v>
      </c>
      <c r="C12" s="11" t="s">
        <v>13</v>
      </c>
      <c r="D12" s="13"/>
      <c r="E12" s="13"/>
      <c r="F12" s="13"/>
      <c r="G12" s="14"/>
      <c r="H12" s="13"/>
      <c r="I12" s="13"/>
      <c r="J12" s="13"/>
      <c r="K12" s="14"/>
      <c r="L12" s="13"/>
      <c r="M12" s="13"/>
      <c r="N12" s="14"/>
      <c r="O12" s="15"/>
      <c r="P12" s="15"/>
      <c r="Q12" s="15"/>
      <c r="R12" s="16"/>
      <c r="S12" s="15"/>
      <c r="T12" s="15"/>
      <c r="U12" s="15"/>
      <c r="V12" s="16"/>
      <c r="W12" s="15"/>
      <c r="X12" s="15"/>
      <c r="Y12" s="16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9"/>
      <c r="AW12" s="19"/>
      <c r="AX12" s="19"/>
      <c r="AY12" s="20"/>
      <c r="AZ12" s="19"/>
      <c r="BA12" s="19"/>
      <c r="BB12" s="19"/>
      <c r="BC12" s="20"/>
      <c r="BD12" s="19"/>
      <c r="BE12" s="19"/>
      <c r="BF12" s="21"/>
    </row>
    <row r="13" spans="1:58" x14ac:dyDescent="0.25">
      <c r="A13" s="23" t="s">
        <v>44</v>
      </c>
      <c r="B13" s="11">
        <v>2026</v>
      </c>
      <c r="C13" s="24" t="s">
        <v>14</v>
      </c>
      <c r="D13" s="25"/>
      <c r="E13" s="25"/>
      <c r="F13" s="25"/>
      <c r="G13" s="26"/>
      <c r="H13" s="25"/>
      <c r="I13" s="25"/>
      <c r="J13" s="25"/>
      <c r="K13" s="26"/>
      <c r="L13" s="25"/>
      <c r="M13" s="25"/>
      <c r="N13" s="26"/>
      <c r="O13" s="27"/>
      <c r="P13" s="27"/>
      <c r="Q13" s="27"/>
      <c r="R13" s="28"/>
      <c r="S13" s="27"/>
      <c r="T13" s="27"/>
      <c r="U13" s="27"/>
      <c r="V13" s="28"/>
      <c r="W13" s="27"/>
      <c r="X13" s="27"/>
      <c r="Y13" s="28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1"/>
      <c r="AW13" s="31"/>
      <c r="AX13" s="31"/>
      <c r="AY13" s="32"/>
      <c r="AZ13" s="31"/>
      <c r="BA13" s="31"/>
      <c r="BB13" s="31"/>
      <c r="BC13" s="32"/>
      <c r="BD13" s="31"/>
      <c r="BE13" s="31"/>
      <c r="BF13" s="3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CBA6-C049-4643-B5EB-BA43058508E5}">
  <sheetPr codeName="Sheet2"/>
  <dimension ref="A1:AJ13"/>
  <sheetViews>
    <sheetView zoomScale="130" zoomScaleNormal="130" workbookViewId="0">
      <selection activeCell="D16" sqref="D16"/>
    </sheetView>
  </sheetViews>
  <sheetFormatPr defaultRowHeight="15" x14ac:dyDescent="0.25"/>
  <cols>
    <col min="1" max="1" width="18.85546875" customWidth="1"/>
    <col min="2" max="2" width="7.140625" customWidth="1"/>
    <col min="4" max="4" width="22.140625" customWidth="1"/>
    <col min="5" max="5" width="22.5703125" customWidth="1"/>
    <col min="6" max="6" width="23.5703125" customWidth="1"/>
    <col min="7" max="7" width="25.42578125" customWidth="1"/>
    <col min="8" max="8" width="25.140625" customWidth="1"/>
    <col min="9" max="9" width="24.5703125" customWidth="1"/>
    <col min="10" max="10" width="26.42578125" customWidth="1"/>
    <col min="11" max="11" width="28.28515625" customWidth="1"/>
    <col min="12" max="12" width="23.85546875" customWidth="1"/>
    <col min="13" max="13" width="22" customWidth="1"/>
    <col min="14" max="14" width="23.140625" customWidth="1"/>
    <col min="15" max="15" width="22.85546875" customWidth="1"/>
    <col min="16" max="16" width="23.42578125" customWidth="1"/>
    <col min="17" max="17" width="24.42578125" customWidth="1"/>
    <col min="18" max="18" width="26.140625" customWidth="1"/>
    <col min="19" max="19" width="25.85546875" customWidth="1"/>
    <col min="20" max="20" width="25.42578125" customWidth="1"/>
    <col min="21" max="21" width="27.28515625" customWidth="1"/>
    <col min="22" max="22" width="29.140625" customWidth="1"/>
    <col min="23" max="23" width="24.7109375" customWidth="1"/>
    <col min="24" max="24" width="22.85546875" customWidth="1"/>
    <col min="25" max="25" width="23.85546875" customWidth="1"/>
    <col min="26" max="26" width="25.42578125" customWidth="1"/>
    <col min="27" max="27" width="25.85546875" customWidth="1"/>
    <col min="28" max="28" width="26.7109375" customWidth="1"/>
    <col min="29" max="29" width="28.5703125" customWidth="1"/>
    <col min="30" max="30" width="28.28515625" customWidth="1"/>
    <col min="31" max="31" width="27.85546875" customWidth="1"/>
    <col min="32" max="32" width="29.7109375" customWidth="1"/>
    <col min="33" max="33" width="31.5703125" customWidth="1"/>
    <col min="34" max="34" width="27.140625" customWidth="1"/>
    <col min="35" max="35" width="25.28515625" customWidth="1"/>
    <col min="36" max="36" width="26.42578125" customWidth="1"/>
  </cols>
  <sheetData>
    <row r="1" spans="1:36" s="1" customFormat="1" ht="30" x14ac:dyDescent="0.25">
      <c r="A1" s="2" t="s">
        <v>0</v>
      </c>
      <c r="B1" s="3" t="s">
        <v>1</v>
      </c>
      <c r="C1" s="3" t="s">
        <v>2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58</v>
      </c>
      <c r="J1" s="4" t="s">
        <v>21</v>
      </c>
      <c r="K1" s="4" t="s">
        <v>22</v>
      </c>
      <c r="L1" s="4" t="s">
        <v>89</v>
      </c>
      <c r="M1" s="4" t="s">
        <v>23</v>
      </c>
      <c r="N1" s="4" t="s">
        <v>24</v>
      </c>
      <c r="O1" s="5" t="s">
        <v>25</v>
      </c>
      <c r="P1" s="5" t="s">
        <v>26</v>
      </c>
      <c r="Q1" s="5" t="s">
        <v>27</v>
      </c>
      <c r="R1" s="5" t="s">
        <v>28</v>
      </c>
      <c r="S1" s="5" t="s">
        <v>29</v>
      </c>
      <c r="T1" s="5" t="s">
        <v>59</v>
      </c>
      <c r="U1" s="5" t="s">
        <v>30</v>
      </c>
      <c r="V1" s="5" t="s">
        <v>31</v>
      </c>
      <c r="W1" s="5" t="s">
        <v>90</v>
      </c>
      <c r="X1" s="5" t="s">
        <v>32</v>
      </c>
      <c r="Y1" s="5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7" t="s">
        <v>60</v>
      </c>
      <c r="AF1" s="7" t="s">
        <v>39</v>
      </c>
      <c r="AG1" s="7" t="s">
        <v>40</v>
      </c>
      <c r="AH1" s="7" t="s">
        <v>91</v>
      </c>
      <c r="AI1" s="7" t="s">
        <v>41</v>
      </c>
      <c r="AJ1" s="35" t="s">
        <v>42</v>
      </c>
    </row>
    <row r="2" spans="1:36" x14ac:dyDescent="0.25">
      <c r="A2" s="10" t="s">
        <v>15</v>
      </c>
      <c r="B2" s="11">
        <v>2026</v>
      </c>
      <c r="C2" s="36" t="s">
        <v>3</v>
      </c>
      <c r="D2" s="13">
        <v>20473.187797499999</v>
      </c>
      <c r="E2" s="13">
        <v>17188.515980000004</v>
      </c>
      <c r="F2" s="13">
        <f>Table1[[#This Row],[Monthly Revenue Actuals]]-Table1[[#This Row],[Monthly Revenue Budget]]</f>
        <v>-3284.6718174999951</v>
      </c>
      <c r="G2" s="14">
        <f>(Table1[[#This Row],[Monthly Revenue Variance]]/Table1[[#This Row],[Monthly Revenue Budget]])*100</f>
        <v>-16.043773202242054</v>
      </c>
      <c r="H2" s="13">
        <v>20473.187797499999</v>
      </c>
      <c r="I2" s="13">
        <v>17188.515980000004</v>
      </c>
      <c r="J2" s="13">
        <f>Table1[[#This Row],[Cumulative Revenue Actual]]-Table1[[#This Row],[Cumulative Revenue Budget]]</f>
        <v>-3284.6718174999951</v>
      </c>
      <c r="K2" s="14">
        <f>(Table1[[#This Row],[Cumulative Revenue Variance]]/Table1[[#This Row],[Cumulative Revenue Budget]])*100</f>
        <v>-16.043773202242054</v>
      </c>
      <c r="L2" s="13">
        <v>261457</v>
      </c>
      <c r="M2" s="13">
        <f>Table1[[#This Row],[Revenue Total Budget 2026]]-Table1[[#This Row],[Cumulative Revenue Actual]]</f>
        <v>244268.48402</v>
      </c>
      <c r="N2" s="14">
        <f>(Table1[[#This Row],[Revenue To Be Achieved ]]/Table1[[#This Row],[Revenue Total Budget 2026]])*100</f>
        <v>93.425872713295107</v>
      </c>
      <c r="O2" s="15">
        <v>4726</v>
      </c>
      <c r="P2" s="15">
        <v>2597.28649</v>
      </c>
      <c r="Q2" s="15">
        <f>Table1[[#This Row],[Monthly Expenses Budget]]-Table1[[#This Row],[Monthly Expenses Actuals]]</f>
        <v>2128.71351</v>
      </c>
      <c r="R2" s="16">
        <f>(Table1[[#This Row],[Monthly Expenses Variance]]/Table1[[#This Row],[Monthly Expenses Budget]])*100</f>
        <v>45.042604951333054</v>
      </c>
      <c r="S2" s="15">
        <v>4726</v>
      </c>
      <c r="T2" s="15">
        <v>2597.28649</v>
      </c>
      <c r="U2" s="15">
        <f>Table1[[#This Row],[Cumulative Expenses Budget]]-Table1[[#This Row],[Cumulative Expenses Actual]]</f>
        <v>2128.71351</v>
      </c>
      <c r="V2" s="16">
        <f>(Table1[[#This Row],[Cumulative Expenses Variance]]/Table1[[#This Row],[Cumulative Expenses Budget]])*100</f>
        <v>45.042604951333054</v>
      </c>
      <c r="W2" s="15">
        <v>53745</v>
      </c>
      <c r="X2" s="15">
        <f>Table1[[#This Row],[Expenses Total Budget 2026]]-Table1[[#This Row],[Cumulative Expenses Actual]]</f>
        <v>51147.713510000001</v>
      </c>
      <c r="Y2" s="16">
        <f>(Table1[[#This Row],[Expenses To Be Achieved ]]/Table1[[#This Row],[Expenses Total Budget 2026]])*100</f>
        <v>95.167389543213318</v>
      </c>
      <c r="Z2" s="38">
        <v>15747</v>
      </c>
      <c r="AA2" s="38">
        <v>14591.229490000005</v>
      </c>
      <c r="AB2" s="38">
        <f>Table1[[#This Row],[Monthly Contribution Actuals]]-Table1[[#This Row],[Monthly Contribution Budget]]</f>
        <v>-1155.7705099999948</v>
      </c>
      <c r="AC2" s="39">
        <f>(Table1[[#This Row],[Monthly Contribution Variance]]/Table1[[#This Row],[Monthly Contribution Budget]])*100</f>
        <v>-7.3396234838381593</v>
      </c>
      <c r="AD2" s="38">
        <v>15747</v>
      </c>
      <c r="AE2" s="38">
        <v>14591.229490000005</v>
      </c>
      <c r="AF2" s="38">
        <f>Table1[[#This Row],[Cumulative Contribution Actual]]-Table1[[#This Row],[Cumulative Contribution Budget]]</f>
        <v>-1155.7705099999948</v>
      </c>
      <c r="AG2" s="39">
        <f>(Table1[[#This Row],[Cumulative Contribution Variance]]/Table1[[#This Row],[Cumulative Contribution Budget]])*100</f>
        <v>-7.3396234838381593</v>
      </c>
      <c r="AH2" s="38">
        <v>207711</v>
      </c>
      <c r="AI2" s="38">
        <f>Table1[[#This Row],[Contribution Total Budget 2026]]-Table1[[#This Row],[Cumulative Contribution Actual]]</f>
        <v>193119.77051</v>
      </c>
      <c r="AJ2" s="40">
        <f>(Table1[[#This Row],[Contribution To Be Achieved ]]/Table1[[#This Row],[Contribution Total Budget 2026]])*100</f>
        <v>92.975225438229074</v>
      </c>
    </row>
    <row r="3" spans="1:36" x14ac:dyDescent="0.25">
      <c r="A3" s="10" t="s">
        <v>15</v>
      </c>
      <c r="B3" s="11">
        <v>2026</v>
      </c>
      <c r="C3" s="22" t="s">
        <v>4</v>
      </c>
      <c r="D3" s="37">
        <v>21514.187797499999</v>
      </c>
      <c r="E3" s="13">
        <v>18095.756960000006</v>
      </c>
      <c r="F3" s="13">
        <f>Table1[[#This Row],[Monthly Revenue Actuals]]-Table1[[#This Row],[Monthly Revenue Budget]]</f>
        <v>-3418.4308374999928</v>
      </c>
      <c r="G3" s="14">
        <f>(Table1[[#This Row],[Monthly Revenue Variance]]/Table1[[#This Row],[Monthly Revenue Budget]])*100</f>
        <v>-15.889193074242955</v>
      </c>
      <c r="H3" s="13">
        <v>41987.375594999998</v>
      </c>
      <c r="I3" s="13">
        <v>35284.27294000001</v>
      </c>
      <c r="J3" s="13">
        <f>Table1[[#This Row],[Cumulative Revenue Actual]]-Table1[[#This Row],[Cumulative Revenue Budget]]</f>
        <v>-6703.1026549999879</v>
      </c>
      <c r="K3" s="14">
        <f>(Table1[[#This Row],[Cumulative Revenue Variance]]/Table1[[#This Row],[Cumulative Revenue Budget]])*100</f>
        <v>-15.964566872805969</v>
      </c>
      <c r="L3" s="13">
        <v>261457</v>
      </c>
      <c r="M3" s="13">
        <f>Table1[[#This Row],[Revenue Total Budget 2026]]-Table1[[#This Row],[Cumulative Revenue Actual]]</f>
        <v>226172.72706</v>
      </c>
      <c r="N3" s="14">
        <f>(Table1[[#This Row],[Revenue To Be Achieved ]]/Table1[[#This Row],[Revenue Total Budget 2026]])*100</f>
        <v>86.50475109100158</v>
      </c>
      <c r="O3" s="15">
        <v>4726</v>
      </c>
      <c r="P3" s="15">
        <v>1715.71351</v>
      </c>
      <c r="Q3" s="15">
        <f>Table1[[#This Row],[Monthly Expenses Budget]]-Table1[[#This Row],[Monthly Expenses Actuals]]</f>
        <v>3010.28649</v>
      </c>
      <c r="R3" s="16">
        <f>(Table1[[#This Row],[Monthly Expenses Variance]]/Table1[[#This Row],[Monthly Expenses Budget]])*100</f>
        <v>63.696286288616164</v>
      </c>
      <c r="S3" s="15">
        <v>9452</v>
      </c>
      <c r="T3" s="15">
        <v>4313</v>
      </c>
      <c r="U3" s="15">
        <f>Table1[[#This Row],[Cumulative Expenses Budget]]-Table1[[#This Row],[Cumulative Expenses Actual]]</f>
        <v>5139</v>
      </c>
      <c r="V3" s="16">
        <f>(Table1[[#This Row],[Cumulative Expenses Variance]]/Table1[[#This Row],[Cumulative Expenses Budget]])*100</f>
        <v>54.369445619974613</v>
      </c>
      <c r="W3" s="15">
        <v>53745</v>
      </c>
      <c r="X3" s="15">
        <f>Table1[[#This Row],[Expenses Total Budget 2026]]-Table1[[#This Row],[Cumulative Expenses Actual]]</f>
        <v>49432</v>
      </c>
      <c r="Y3" s="16">
        <f>(Table1[[#This Row],[Expenses To Be Achieved ]]/Table1[[#This Row],[Expenses Total Budget 2026]])*100</f>
        <v>91.975067448134709</v>
      </c>
      <c r="Z3" s="38">
        <v>16788</v>
      </c>
      <c r="AA3" s="38">
        <v>16380.770509999995</v>
      </c>
      <c r="AB3" s="38">
        <f>Table1[[#This Row],[Monthly Contribution Actuals]]-Table1[[#This Row],[Monthly Contribution Budget]]</f>
        <v>-407.22949000000517</v>
      </c>
      <c r="AC3" s="39">
        <f>(Table1[[#This Row],[Monthly Contribution Variance]]/Table1[[#This Row],[Monthly Contribution Budget]])*100</f>
        <v>-2.4257177150345792</v>
      </c>
      <c r="AD3" s="38">
        <v>32535</v>
      </c>
      <c r="AE3" s="38">
        <v>30972</v>
      </c>
      <c r="AF3" s="38">
        <f>Table1[[#This Row],[Cumulative Contribution Actual]]-Table1[[#This Row],[Cumulative Contribution Budget]]</f>
        <v>-1563</v>
      </c>
      <c r="AG3" s="39">
        <f>(Table1[[#This Row],[Cumulative Contribution Variance]]/Table1[[#This Row],[Cumulative Contribution Budget]])*100</f>
        <v>-4.8040571692023981</v>
      </c>
      <c r="AH3" s="38">
        <v>207711</v>
      </c>
      <c r="AI3" s="38">
        <f>Table1[[#This Row],[Contribution Total Budget 2026]]-Table1[[#This Row],[Cumulative Contribution Actual]]</f>
        <v>176739</v>
      </c>
      <c r="AJ3" s="40">
        <f>(Table1[[#This Row],[Contribution To Be Achieved ]]/Table1[[#This Row],[Contribution Total Budget 2026]])*100</f>
        <v>85.088897554775627</v>
      </c>
    </row>
    <row r="4" spans="1:36" x14ac:dyDescent="0.25">
      <c r="A4" s="10" t="s">
        <v>15</v>
      </c>
      <c r="B4" s="11">
        <v>2026</v>
      </c>
      <c r="C4" s="22" t="s">
        <v>5</v>
      </c>
      <c r="D4" s="37">
        <v>19906.624405000002</v>
      </c>
      <c r="E4" s="13">
        <v>22402.72705999999</v>
      </c>
      <c r="F4" s="13">
        <f>Table1[[#This Row],[Monthly Revenue Actuals]]-Table1[[#This Row],[Monthly Revenue Budget]]</f>
        <v>2496.1026549999879</v>
      </c>
      <c r="G4" s="14">
        <f>(Table1[[#This Row],[Monthly Revenue Variance]]/Table1[[#This Row],[Monthly Revenue Budget]])*100</f>
        <v>12.539055362761728</v>
      </c>
      <c r="H4" s="13">
        <v>61894</v>
      </c>
      <c r="I4" s="13">
        <v>57687</v>
      </c>
      <c r="J4" s="13">
        <f>Table1[[#This Row],[Cumulative Revenue Actual]]-Table1[[#This Row],[Cumulative Revenue Budget]]</f>
        <v>-4207</v>
      </c>
      <c r="K4" s="14">
        <f>(Table1[[#This Row],[Cumulative Revenue Variance]]/Table1[[#This Row],[Cumulative Revenue Budget]])*100</f>
        <v>-6.7971047274372314</v>
      </c>
      <c r="L4" s="13">
        <v>261457</v>
      </c>
      <c r="M4" s="13">
        <f>Table1[[#This Row],[Revenue Total Budget 2026]]-Table1[[#This Row],[Cumulative Revenue Actual]]</f>
        <v>203770</v>
      </c>
      <c r="N4" s="14">
        <f>(Table1[[#This Row],[Revenue To Be Achieved ]]/Table1[[#This Row],[Revenue Total Budget 2026]])*100</f>
        <v>77.936333699231625</v>
      </c>
      <c r="O4" s="15">
        <v>4727</v>
      </c>
      <c r="P4" s="15">
        <v>7421</v>
      </c>
      <c r="Q4" s="15">
        <f>Table1[[#This Row],[Monthly Expenses Budget]]-Table1[[#This Row],[Monthly Expenses Actuals]]</f>
        <v>-2694</v>
      </c>
      <c r="R4" s="16">
        <f>(Table1[[#This Row],[Monthly Expenses Variance]]/Table1[[#This Row],[Monthly Expenses Budget]])*100</f>
        <v>-56.991749524011006</v>
      </c>
      <c r="S4" s="15">
        <v>14179</v>
      </c>
      <c r="T4" s="15">
        <v>11734</v>
      </c>
      <c r="U4" s="15">
        <f>Table1[[#This Row],[Cumulative Expenses Budget]]-Table1[[#This Row],[Cumulative Expenses Actual]]</f>
        <v>2445</v>
      </c>
      <c r="V4" s="16">
        <f>(Table1[[#This Row],[Cumulative Expenses Variance]]/Table1[[#This Row],[Cumulative Expenses Budget]])*100</f>
        <v>17.243811270188306</v>
      </c>
      <c r="W4" s="15">
        <v>53745</v>
      </c>
      <c r="X4" s="15">
        <f>Table1[[#This Row],[Expenses Total Budget 2026]]-Table1[[#This Row],[Cumulative Expenses Actual]]</f>
        <v>42011</v>
      </c>
      <c r="Y4" s="16">
        <f>(Table1[[#This Row],[Expenses To Be Achieved ]]/Table1[[#This Row],[Expenses Total Budget 2026]])*100</f>
        <v>78.167271374081309</v>
      </c>
      <c r="Z4" s="38">
        <v>15180</v>
      </c>
      <c r="AA4" s="38">
        <v>14981</v>
      </c>
      <c r="AB4" s="38">
        <f>Table1[[#This Row],[Monthly Contribution Actuals]]-Table1[[#This Row],[Monthly Contribution Budget]]</f>
        <v>-199</v>
      </c>
      <c r="AC4" s="39">
        <f>(Table1[[#This Row],[Monthly Contribution Variance]]/Table1[[#This Row],[Monthly Contribution Budget]])*100</f>
        <v>-1.3109354413702239</v>
      </c>
      <c r="AD4" s="38">
        <v>47715</v>
      </c>
      <c r="AE4" s="38">
        <v>45953</v>
      </c>
      <c r="AF4" s="38">
        <f>Table1[[#This Row],[Cumulative Contribution Actual]]-Table1[[#This Row],[Cumulative Contribution Budget]]</f>
        <v>-1762</v>
      </c>
      <c r="AG4" s="39">
        <f>(Table1[[#This Row],[Cumulative Contribution Variance]]/Table1[[#This Row],[Cumulative Contribution Budget]])*100</f>
        <v>-3.6927590904327783</v>
      </c>
      <c r="AH4" s="38">
        <v>207711</v>
      </c>
      <c r="AI4" s="38">
        <f>Table1[[#This Row],[Contribution Total Budget 2026]]-Table1[[#This Row],[Cumulative Contribution Actual]]</f>
        <v>161758</v>
      </c>
      <c r="AJ4" s="40">
        <f>(Table1[[#This Row],[Contribution To Be Achieved ]]/Table1[[#This Row],[Contribution Total Budget 2026]])*100</f>
        <v>77.876472598947572</v>
      </c>
    </row>
    <row r="5" spans="1:36" x14ac:dyDescent="0.25">
      <c r="A5" s="10" t="s">
        <v>15</v>
      </c>
      <c r="B5" s="11">
        <v>2026</v>
      </c>
      <c r="C5" s="22" t="s">
        <v>6</v>
      </c>
      <c r="D5" s="41">
        <v>14156</v>
      </c>
      <c r="E5" s="13">
        <v>14908</v>
      </c>
      <c r="F5" s="13">
        <f>Table1[[#This Row],[Monthly Revenue Actuals]]-Table1[[#This Row],[Monthly Revenue Budget]]</f>
        <v>752</v>
      </c>
      <c r="G5" s="14">
        <f>(Table1[[#This Row],[Monthly Revenue Variance]]/Table1[[#This Row],[Monthly Revenue Budget]])*100</f>
        <v>5.3122350946595089</v>
      </c>
      <c r="H5" s="13">
        <v>76050</v>
      </c>
      <c r="I5" s="13">
        <v>72595</v>
      </c>
      <c r="J5" s="13">
        <f>Table1[[#This Row],[Cumulative Revenue Actual]]-Table1[[#This Row],[Cumulative Revenue Budget]]</f>
        <v>-3455</v>
      </c>
      <c r="K5" s="14">
        <f>(Table1[[#This Row],[Cumulative Revenue Variance]]/Table1[[#This Row],[Cumulative Revenue Budget]])*100</f>
        <v>-4.5430637738330049</v>
      </c>
      <c r="L5" s="13">
        <v>261457</v>
      </c>
      <c r="M5" s="13">
        <f>Table1[[#This Row],[Revenue Total Budget 2026]]-Table1[[#This Row],[Cumulative Revenue Actual]]</f>
        <v>188862</v>
      </c>
      <c r="N5" s="14">
        <f>(Table1[[#This Row],[Revenue To Be Achieved ]]/Table1[[#This Row],[Revenue Total Budget 2026]])*100</f>
        <v>72.234440080013158</v>
      </c>
      <c r="O5" s="15">
        <v>3742</v>
      </c>
      <c r="P5" s="15">
        <v>6322</v>
      </c>
      <c r="Q5" s="15">
        <f>Table1[[#This Row],[Monthly Expenses Budget]]-Table1[[#This Row],[Monthly Expenses Actuals]]</f>
        <v>-2580</v>
      </c>
      <c r="R5" s="16">
        <f>(Table1[[#This Row],[Monthly Expenses Variance]]/Table1[[#This Row],[Monthly Expenses Budget]])*100</f>
        <v>-68.9470871191876</v>
      </c>
      <c r="S5" s="15">
        <v>17921</v>
      </c>
      <c r="T5" s="15">
        <v>18056</v>
      </c>
      <c r="U5" s="15">
        <f>Table1[[#This Row],[Cumulative Expenses Budget]]-Table1[[#This Row],[Cumulative Expenses Actual]]</f>
        <v>-135</v>
      </c>
      <c r="V5" s="16">
        <f>(Table1[[#This Row],[Cumulative Expenses Variance]]/Table1[[#This Row],[Cumulative Expenses Budget]])*100</f>
        <v>-0.75330617711065229</v>
      </c>
      <c r="W5" s="15">
        <v>53745</v>
      </c>
      <c r="X5" s="15">
        <f>Table1[[#This Row],[Expenses Total Budget 2026]]-Table1[[#This Row],[Cumulative Expenses Actual]]</f>
        <v>35689</v>
      </c>
      <c r="Y5" s="16">
        <f>(Table1[[#This Row],[Expenses To Be Achieved ]]/Table1[[#This Row],[Expenses Total Budget 2026]])*100</f>
        <v>66.404316680621463</v>
      </c>
      <c r="Z5" s="38">
        <v>10414</v>
      </c>
      <c r="AA5" s="38">
        <v>8586</v>
      </c>
      <c r="AB5" s="38">
        <f>Table1[[#This Row],[Monthly Contribution Actuals]]-Table1[[#This Row],[Monthly Contribution Budget]]</f>
        <v>-1828</v>
      </c>
      <c r="AC5" s="39">
        <f>(Table1[[#This Row],[Monthly Contribution Variance]]/Table1[[#This Row],[Monthly Contribution Budget]])*100</f>
        <v>-17.553293643172651</v>
      </c>
      <c r="AD5" s="38">
        <v>58129</v>
      </c>
      <c r="AE5" s="38">
        <v>54539</v>
      </c>
      <c r="AF5" s="38">
        <f>Table1[[#This Row],[Cumulative Contribution Actual]]-Table1[[#This Row],[Cumulative Contribution Budget]]</f>
        <v>-3590</v>
      </c>
      <c r="AG5" s="39">
        <f>(Table1[[#This Row],[Cumulative Contribution Variance]]/Table1[[#This Row],[Cumulative Contribution Budget]])*100</f>
        <v>-6.1759190765366689</v>
      </c>
      <c r="AH5" s="38">
        <v>207711</v>
      </c>
      <c r="AI5" s="38">
        <f>Table1[[#This Row],[Contribution Total Budget 2026]]-Table1[[#This Row],[Cumulative Contribution Actual]]</f>
        <v>153172</v>
      </c>
      <c r="AJ5" s="40">
        <f>(Table1[[#This Row],[Contribution To Be Achieved ]]/Table1[[#This Row],[Contribution Total Budget 2026]])*100</f>
        <v>73.742844625465182</v>
      </c>
    </row>
    <row r="6" spans="1:36" x14ac:dyDescent="0.25">
      <c r="A6" s="10" t="s">
        <v>15</v>
      </c>
      <c r="B6" s="11">
        <v>2026</v>
      </c>
      <c r="C6" s="22" t="s">
        <v>7</v>
      </c>
      <c r="D6" s="37">
        <v>20950</v>
      </c>
      <c r="E6" s="13">
        <v>18081</v>
      </c>
      <c r="F6" s="13">
        <f>Table1[[#This Row],[Monthly Revenue Actuals]]-Table1[[#This Row],[Monthly Revenue Budget]]</f>
        <v>-2869</v>
      </c>
      <c r="G6" s="14">
        <f>(Table1[[#This Row],[Monthly Revenue Variance]]/Table1[[#This Row],[Monthly Revenue Budget]])*100</f>
        <v>-13.694510739856803</v>
      </c>
      <c r="H6" s="13">
        <v>97000</v>
      </c>
      <c r="I6" s="13">
        <v>90676</v>
      </c>
      <c r="J6" s="13">
        <f>Table1[[#This Row],[Cumulative Revenue Actual]]-Table1[[#This Row],[Cumulative Revenue Budget]]</f>
        <v>-6324</v>
      </c>
      <c r="K6" s="14">
        <f>(Table1[[#This Row],[Cumulative Revenue Variance]]/Table1[[#This Row],[Cumulative Revenue Budget]])*100</f>
        <v>-6.5195876288659793</v>
      </c>
      <c r="L6" s="13">
        <v>261457</v>
      </c>
      <c r="M6" s="13">
        <f>Table1[[#This Row],[Revenue Total Budget 2026]]-Table1[[#This Row],[Cumulative Revenue Actual]]</f>
        <v>170781</v>
      </c>
      <c r="N6" s="14">
        <f>(Table1[[#This Row],[Revenue To Be Achieved ]]/Table1[[#This Row],[Revenue Total Budget 2026]])*100</f>
        <v>65.318962582757393</v>
      </c>
      <c r="O6" s="15">
        <v>4480</v>
      </c>
      <c r="P6" s="15">
        <v>2753</v>
      </c>
      <c r="Q6" s="15">
        <f>Table1[[#This Row],[Monthly Expenses Budget]]-Table1[[#This Row],[Monthly Expenses Actuals]]</f>
        <v>1727</v>
      </c>
      <c r="R6" s="16">
        <f>(Table1[[#This Row],[Monthly Expenses Variance]]/Table1[[#This Row],[Monthly Expenses Budget]])*100</f>
        <v>38.549107142857139</v>
      </c>
      <c r="S6" s="15">
        <v>22401</v>
      </c>
      <c r="T6" s="15">
        <v>20809</v>
      </c>
      <c r="U6" s="15">
        <f>Table1[[#This Row],[Cumulative Expenses Budget]]-Table1[[#This Row],[Cumulative Expenses Actual]]</f>
        <v>1592</v>
      </c>
      <c r="V6" s="16">
        <f>(Table1[[#This Row],[Cumulative Expenses Variance]]/Table1[[#This Row],[Cumulative Expenses Budget]])*100</f>
        <v>7.1068255881433871</v>
      </c>
      <c r="W6" s="15">
        <v>53745</v>
      </c>
      <c r="X6" s="15">
        <f>Table1[[#This Row],[Expenses Total Budget 2026]]-Table1[[#This Row],[Cumulative Expenses Actual]]</f>
        <v>32936</v>
      </c>
      <c r="Y6" s="16">
        <f>(Table1[[#This Row],[Expenses To Be Achieved ]]/Table1[[#This Row],[Expenses Total Budget 2026]])*100</f>
        <v>61.281979719043633</v>
      </c>
      <c r="Z6" s="38">
        <v>16470</v>
      </c>
      <c r="AA6" s="38">
        <v>15328</v>
      </c>
      <c r="AB6" s="38">
        <f>Table1[[#This Row],[Monthly Contribution Actuals]]-Table1[[#This Row],[Monthly Contribution Budget]]</f>
        <v>-1142</v>
      </c>
      <c r="AC6" s="39">
        <f>(Table1[[#This Row],[Monthly Contribution Variance]]/Table1[[#This Row],[Monthly Contribution Budget]])*100</f>
        <v>-6.933819064966606</v>
      </c>
      <c r="AD6" s="38">
        <v>74599</v>
      </c>
      <c r="AE6" s="38">
        <v>69867</v>
      </c>
      <c r="AF6" s="38">
        <f>Table1[[#This Row],[Cumulative Contribution Actual]]-Table1[[#This Row],[Cumulative Contribution Budget]]</f>
        <v>-4732</v>
      </c>
      <c r="AG6" s="39">
        <f>(Table1[[#This Row],[Cumulative Contribution Variance]]/Table1[[#This Row],[Cumulative Contribution Budget]])*100</f>
        <v>-6.343248569015671</v>
      </c>
      <c r="AH6" s="38">
        <v>207711</v>
      </c>
      <c r="AI6" s="38">
        <f>Table1[[#This Row],[Contribution Total Budget 2026]]-Table1[[#This Row],[Cumulative Contribution Actual]]</f>
        <v>137844</v>
      </c>
      <c r="AJ6" s="40">
        <f>(Table1[[#This Row],[Contribution To Be Achieved ]]/Table1[[#This Row],[Contribution Total Budget 2026]])*100</f>
        <v>66.363360630876556</v>
      </c>
    </row>
    <row r="7" spans="1:36" x14ac:dyDescent="0.25">
      <c r="A7" s="10" t="s">
        <v>15</v>
      </c>
      <c r="B7" s="11">
        <v>2026</v>
      </c>
      <c r="C7" s="22" t="s">
        <v>8</v>
      </c>
      <c r="D7" s="37">
        <v>21273</v>
      </c>
      <c r="E7" s="13">
        <v>13867</v>
      </c>
      <c r="F7" s="13">
        <f>Table1[[#This Row],[Monthly Revenue Actuals]]-Table1[[#This Row],[Monthly Revenue Budget]]</f>
        <v>-7406</v>
      </c>
      <c r="G7" s="14">
        <f>(Table1[[#This Row],[Monthly Revenue Variance]]/Table1[[#This Row],[Monthly Revenue Budget]])*100</f>
        <v>-34.814083580125043</v>
      </c>
      <c r="H7" s="13">
        <v>118273</v>
      </c>
      <c r="I7" s="13">
        <v>104543</v>
      </c>
      <c r="J7" s="13">
        <f>Table1[[#This Row],[Cumulative Revenue Actual]]-Table1[[#This Row],[Cumulative Revenue Budget]]</f>
        <v>-13730</v>
      </c>
      <c r="K7" s="14">
        <f>(Table1[[#This Row],[Cumulative Revenue Variance]]/Table1[[#This Row],[Cumulative Revenue Budget]])*100</f>
        <v>-11.608735721593263</v>
      </c>
      <c r="L7" s="13">
        <v>261457</v>
      </c>
      <c r="M7" s="13">
        <f>Table1[[#This Row],[Revenue Total Budget 2026]]-Table1[[#This Row],[Cumulative Revenue Actual]]</f>
        <v>156914</v>
      </c>
      <c r="N7" s="14">
        <f>(Table1[[#This Row],[Revenue To Be Achieved ]]/Table1[[#This Row],[Revenue Total Budget 2026]])*100</f>
        <v>60.015222388385091</v>
      </c>
      <c r="O7" s="15">
        <v>4480</v>
      </c>
      <c r="P7" s="15">
        <v>3218</v>
      </c>
      <c r="Q7" s="15">
        <f>Table1[[#This Row],[Monthly Expenses Budget]]-Table1[[#This Row],[Monthly Expenses Actuals]]</f>
        <v>1262</v>
      </c>
      <c r="R7" s="16">
        <f>(Table1[[#This Row],[Monthly Expenses Variance]]/Table1[[#This Row],[Monthly Expenses Budget]])*100</f>
        <v>28.169642857142858</v>
      </c>
      <c r="S7" s="15">
        <v>26881</v>
      </c>
      <c r="T7" s="15">
        <v>24027</v>
      </c>
      <c r="U7" s="15">
        <f>Table1[[#This Row],[Cumulative Expenses Budget]]-Table1[[#This Row],[Cumulative Expenses Actual]]</f>
        <v>2854</v>
      </c>
      <c r="V7" s="16">
        <f>(Table1[[#This Row],[Cumulative Expenses Variance]]/Table1[[#This Row],[Cumulative Expenses Budget]])*100</f>
        <v>10.617164540009673</v>
      </c>
      <c r="W7" s="15">
        <v>53745</v>
      </c>
      <c r="X7" s="15">
        <f>Table1[[#This Row],[Expenses Total Budget 2026]]-Table1[[#This Row],[Cumulative Expenses Actual]]</f>
        <v>29718</v>
      </c>
      <c r="Y7" s="16">
        <f>(Table1[[#This Row],[Expenses To Be Achieved ]]/Table1[[#This Row],[Expenses Total Budget 2026]])*100</f>
        <v>55.294445994976286</v>
      </c>
      <c r="Z7" s="38">
        <v>16793</v>
      </c>
      <c r="AA7" s="38">
        <v>10649</v>
      </c>
      <c r="AB7" s="38">
        <f>Table1[[#This Row],[Monthly Contribution Actuals]]-Table1[[#This Row],[Monthly Contribution Budget]]</f>
        <v>-6144</v>
      </c>
      <c r="AC7" s="39">
        <f>(Table1[[#This Row],[Monthly Contribution Variance]]/Table1[[#This Row],[Monthly Contribution Budget]])*100</f>
        <v>-36.586673018519619</v>
      </c>
      <c r="AD7" s="38">
        <v>91392</v>
      </c>
      <c r="AE7" s="38">
        <v>80516</v>
      </c>
      <c r="AF7" s="38">
        <f>Table1[[#This Row],[Cumulative Contribution Actual]]-Table1[[#This Row],[Cumulative Contribution Budget]]</f>
        <v>-10876</v>
      </c>
      <c r="AG7" s="39">
        <f>(Table1[[#This Row],[Cumulative Contribution Variance]]/Table1[[#This Row],[Cumulative Contribution Budget]])*100</f>
        <v>-11.900385154061624</v>
      </c>
      <c r="AH7" s="38">
        <v>207711</v>
      </c>
      <c r="AI7" s="38">
        <f>Table1[[#This Row],[Contribution Total Budget 2026]]-Table1[[#This Row],[Cumulative Contribution Actual]]</f>
        <v>127195</v>
      </c>
      <c r="AJ7" s="40">
        <f>(Table1[[#This Row],[Contribution To Be Achieved ]]/Table1[[#This Row],[Contribution Total Budget 2026]])*100</f>
        <v>61.236525749719561</v>
      </c>
    </row>
    <row r="8" spans="1:36" x14ac:dyDescent="0.25">
      <c r="A8" s="10" t="s">
        <v>15</v>
      </c>
      <c r="B8" s="11">
        <v>2026</v>
      </c>
      <c r="C8" s="22" t="s">
        <v>9</v>
      </c>
      <c r="D8" s="37">
        <f>Table1[[#This Row],[Cumulative Revenue Budget]]-H7</f>
        <v>20293</v>
      </c>
      <c r="E8" s="37">
        <f>Table1[[#This Row],[Cumulative Revenue Actual]]-I7</f>
        <v>14722</v>
      </c>
      <c r="F8" s="13">
        <f>Table1[[#This Row],[Monthly Revenue Actuals]]-Table1[[#This Row],[Monthly Revenue Budget]]</f>
        <v>-5571</v>
      </c>
      <c r="G8" s="14">
        <f>(Table1[[#This Row],[Monthly Revenue Variance]]/Table1[[#This Row],[Monthly Revenue Budget]])*100</f>
        <v>-27.452816242053913</v>
      </c>
      <c r="H8" s="13">
        <v>138566</v>
      </c>
      <c r="I8" s="13">
        <v>119265</v>
      </c>
      <c r="J8" s="13">
        <f>Table1[[#This Row],[Cumulative Revenue Actual]]-Table1[[#This Row],[Cumulative Revenue Budget]]</f>
        <v>-19301</v>
      </c>
      <c r="K8" s="14">
        <f>(Table1[[#This Row],[Cumulative Revenue Variance]]/Table1[[#This Row],[Cumulative Revenue Budget]])*100</f>
        <v>-13.929102377206529</v>
      </c>
      <c r="L8" s="13">
        <v>261457</v>
      </c>
      <c r="M8" s="13">
        <f>Table1[[#This Row],[Revenue Total Budget 2026]]-Table1[[#This Row],[Cumulative Revenue Actual]]</f>
        <v>142192</v>
      </c>
      <c r="N8" s="14">
        <f>(Table1[[#This Row],[Revenue To Be Achieved ]]/Table1[[#This Row],[Revenue Total Budget 2026]])*100</f>
        <v>54.384468574182364</v>
      </c>
      <c r="O8" s="15">
        <f>Table1[[#This Row],[Cumulative Expenses Budget]]-S7</f>
        <v>4480</v>
      </c>
      <c r="P8" s="15">
        <f>Table1[[#This Row],[Cumulative Expenses Actual]]-T7</f>
        <v>4710</v>
      </c>
      <c r="Q8" s="15">
        <f>Table1[[#This Row],[Monthly Expenses Budget]]-Table1[[#This Row],[Monthly Expenses Actuals]]</f>
        <v>-230</v>
      </c>
      <c r="R8" s="16">
        <f>(Table1[[#This Row],[Monthly Expenses Variance]]/Table1[[#This Row],[Monthly Expenses Budget]])*100</f>
        <v>-5.1339285714285712</v>
      </c>
      <c r="S8" s="15">
        <v>31361</v>
      </c>
      <c r="T8" s="15">
        <v>28737</v>
      </c>
      <c r="U8" s="15">
        <f>Table1[[#This Row],[Cumulative Expenses Budget]]-Table1[[#This Row],[Cumulative Expenses Actual]]</f>
        <v>2624</v>
      </c>
      <c r="V8" s="16">
        <f>(Table1[[#This Row],[Cumulative Expenses Variance]]/Table1[[#This Row],[Cumulative Expenses Budget]])*100</f>
        <v>8.3670801313733616</v>
      </c>
      <c r="W8" s="15">
        <v>53745</v>
      </c>
      <c r="X8" s="15">
        <f>Table1[[#This Row],[Expenses Total Budget 2026]]-Table1[[#This Row],[Cumulative Expenses Actual]]</f>
        <v>25008</v>
      </c>
      <c r="Y8" s="16">
        <f>(Table1[[#This Row],[Expenses To Be Achieved ]]/Table1[[#This Row],[Expenses Total Budget 2026]])*100</f>
        <v>46.530840078146809</v>
      </c>
      <c r="Z8" s="38">
        <f>Table1[[#This Row],[Cumulative Contribution Budget]]-AD7</f>
        <v>15813</v>
      </c>
      <c r="AA8" s="38">
        <f>Table1[[#This Row],[Cumulative Contribution Actual]]-AE7</f>
        <v>10011</v>
      </c>
      <c r="AB8" s="38">
        <f>Table1[[#This Row],[Monthly Contribution Actuals]]-Table1[[#This Row],[Monthly Contribution Budget]]</f>
        <v>-5802</v>
      </c>
      <c r="AC8" s="39">
        <f>(Table1[[#This Row],[Monthly Contribution Variance]]/Table1[[#This Row],[Monthly Contribution Budget]])*100</f>
        <v>-36.691329918421552</v>
      </c>
      <c r="AD8" s="38">
        <v>107205</v>
      </c>
      <c r="AE8" s="38">
        <v>90527</v>
      </c>
      <c r="AF8" s="38">
        <f>Table1[[#This Row],[Cumulative Contribution Actual]]-Table1[[#This Row],[Cumulative Contribution Budget]]</f>
        <v>-16678</v>
      </c>
      <c r="AG8" s="39">
        <f>(Table1[[#This Row],[Cumulative Contribution Variance]]/Table1[[#This Row],[Cumulative Contribution Budget]])*100</f>
        <v>-15.557110209411876</v>
      </c>
      <c r="AH8" s="38">
        <v>207711</v>
      </c>
      <c r="AI8" s="38">
        <f>Table1[[#This Row],[Contribution Total Budget 2026]]-Table1[[#This Row],[Cumulative Contribution Actual]]</f>
        <v>117184</v>
      </c>
      <c r="AJ8" s="40">
        <f>(Table1[[#This Row],[Contribution To Be Achieved ]]/Table1[[#This Row],[Contribution Total Budget 2026]])*100</f>
        <v>56.416848409569063</v>
      </c>
    </row>
    <row r="9" spans="1:36" x14ac:dyDescent="0.25">
      <c r="A9" s="10" t="s">
        <v>15</v>
      </c>
      <c r="B9" s="11">
        <v>2026</v>
      </c>
      <c r="C9" s="22" t="s">
        <v>10</v>
      </c>
      <c r="D9" s="37">
        <f>Table1[[#This Row],[Cumulative Revenue Budget]]-H8</f>
        <v>20604</v>
      </c>
      <c r="E9" s="37">
        <f>Table1[[#This Row],[Cumulative Revenue Actual]]-I8</f>
        <v>19256</v>
      </c>
      <c r="F9" s="13">
        <f>Table1[[#This Row],[Monthly Revenue Actuals]]-Table1[[#This Row],[Monthly Revenue Budget]]</f>
        <v>-1348</v>
      </c>
      <c r="G9" s="14">
        <f>(Table1[[#This Row],[Monthly Revenue Variance]]/Table1[[#This Row],[Monthly Revenue Budget]])*100</f>
        <v>-6.5424189477771302</v>
      </c>
      <c r="H9" s="13">
        <v>159170</v>
      </c>
      <c r="I9" s="13">
        <v>138521</v>
      </c>
      <c r="J9" s="13">
        <f>Table1[[#This Row],[Cumulative Revenue Actual]]-Table1[[#This Row],[Cumulative Revenue Budget]]</f>
        <v>-20649</v>
      </c>
      <c r="K9" s="14">
        <f>(Table1[[#This Row],[Cumulative Revenue Variance]]/Table1[[#This Row],[Cumulative Revenue Budget]])*100</f>
        <v>-12.972922033046427</v>
      </c>
      <c r="L9" s="13">
        <v>261457</v>
      </c>
      <c r="M9" s="13">
        <f>Table1[[#This Row],[Revenue Total Budget 2026]]-Table1[[#This Row],[Cumulative Revenue Actual]]</f>
        <v>122936</v>
      </c>
      <c r="N9" s="14">
        <f>(Table1[[#This Row],[Revenue To Be Achieved ]]/Table1[[#This Row],[Revenue Total Budget 2026]])*100</f>
        <v>47.019586394703531</v>
      </c>
      <c r="O9" s="15">
        <f>Table1[[#This Row],[Cumulative Expenses Budget]]-S8</f>
        <v>4481</v>
      </c>
      <c r="P9" s="15">
        <f>Table1[[#This Row],[Cumulative Expenses Actual]]-T8</f>
        <v>4157</v>
      </c>
      <c r="Q9" s="15">
        <f>Table1[[#This Row],[Monthly Expenses Budget]]-Table1[[#This Row],[Monthly Expenses Actuals]]</f>
        <v>324</v>
      </c>
      <c r="R9" s="16">
        <f>(Table1[[#This Row],[Monthly Expenses Variance]]/Table1[[#This Row],[Monthly Expenses Budget]])*100</f>
        <v>7.2305288997991521</v>
      </c>
      <c r="S9" s="15">
        <v>35842</v>
      </c>
      <c r="T9" s="15">
        <v>32894</v>
      </c>
      <c r="U9" s="15">
        <f>Table1[[#This Row],[Cumulative Expenses Budget]]-Table1[[#This Row],[Cumulative Expenses Actual]]</f>
        <v>2948</v>
      </c>
      <c r="V9" s="16">
        <f>(Table1[[#This Row],[Cumulative Expenses Variance]]/Table1[[#This Row],[Cumulative Expenses Budget]])*100</f>
        <v>8.2249874448970495</v>
      </c>
      <c r="W9" s="15">
        <v>53745</v>
      </c>
      <c r="X9" s="15">
        <f>Table1[[#This Row],[Expenses Total Budget 2026]]-Table1[[#This Row],[Cumulative Expenses Actual]]</f>
        <v>20851</v>
      </c>
      <c r="Y9" s="16">
        <f>(Table1[[#This Row],[Expenses To Be Achieved ]]/Table1[[#This Row],[Expenses Total Budget 2026]])*100</f>
        <v>38.796167085310259</v>
      </c>
      <c r="Z9" s="38">
        <f>Table1[[#This Row],[Cumulative Contribution Budget]]-AD8</f>
        <v>16123</v>
      </c>
      <c r="AA9" s="38">
        <f>Table1[[#This Row],[Cumulative Contribution Actual]]-AE8</f>
        <v>15100</v>
      </c>
      <c r="AB9" s="38">
        <f>Table1[[#This Row],[Monthly Contribution Actuals]]-Table1[[#This Row],[Monthly Contribution Budget]]</f>
        <v>-1023</v>
      </c>
      <c r="AC9" s="39">
        <f>(Table1[[#This Row],[Monthly Contribution Variance]]/Table1[[#This Row],[Monthly Contribution Budget]])*100</f>
        <v>-6.3449730199094461</v>
      </c>
      <c r="AD9" s="38">
        <v>123328</v>
      </c>
      <c r="AE9" s="38">
        <v>105627</v>
      </c>
      <c r="AF9" s="38">
        <f>Table1[[#This Row],[Cumulative Contribution Actual]]-Table1[[#This Row],[Cumulative Contribution Budget]]</f>
        <v>-17701</v>
      </c>
      <c r="AG9" s="39">
        <f>(Table1[[#This Row],[Cumulative Contribution Variance]]/Table1[[#This Row],[Cumulative Contribution Budget]])*100</f>
        <v>-14.352782823040997</v>
      </c>
      <c r="AH9" s="38">
        <v>207711</v>
      </c>
      <c r="AI9" s="38">
        <f>Table1[[#This Row],[Contribution Total Budget 2026]]-Table1[[#This Row],[Cumulative Contribution Actual]]</f>
        <v>102084</v>
      </c>
      <c r="AJ9" s="40">
        <f>(Table1[[#This Row],[Contribution To Be Achieved ]]/Table1[[#This Row],[Contribution Total Budget 2026]])*100</f>
        <v>49.147132313647326</v>
      </c>
    </row>
    <row r="10" spans="1:36" x14ac:dyDescent="0.25">
      <c r="A10" s="10" t="s">
        <v>15</v>
      </c>
      <c r="B10" s="11">
        <v>2026</v>
      </c>
      <c r="C10" s="22" t="s">
        <v>11</v>
      </c>
      <c r="D10" s="13"/>
      <c r="E10" s="13"/>
      <c r="F10" s="13"/>
      <c r="G10" s="14"/>
      <c r="H10" s="13"/>
      <c r="I10" s="13"/>
      <c r="J10" s="13"/>
      <c r="K10" s="14"/>
      <c r="L10" s="13"/>
      <c r="M10" s="13"/>
      <c r="N10" s="14"/>
      <c r="O10" s="15"/>
      <c r="P10" s="15"/>
      <c r="Q10" s="15"/>
      <c r="R10" s="16"/>
      <c r="S10" s="15"/>
      <c r="T10" s="15"/>
      <c r="U10" s="15"/>
      <c r="V10" s="16"/>
      <c r="W10" s="15"/>
      <c r="X10" s="15"/>
      <c r="Y10" s="16"/>
      <c r="Z10" s="38"/>
      <c r="AA10" s="38"/>
      <c r="AB10" s="38"/>
      <c r="AC10" s="39"/>
      <c r="AD10" s="38"/>
      <c r="AE10" s="38"/>
      <c r="AF10" s="38"/>
      <c r="AG10" s="39"/>
      <c r="AH10" s="38"/>
      <c r="AI10" s="38"/>
      <c r="AJ10" s="40"/>
    </row>
    <row r="11" spans="1:36" x14ac:dyDescent="0.25">
      <c r="A11" s="10" t="s">
        <v>15</v>
      </c>
      <c r="B11" s="11">
        <v>2026</v>
      </c>
      <c r="C11" s="22" t="s">
        <v>12</v>
      </c>
      <c r="D11" s="13"/>
      <c r="E11" s="13"/>
      <c r="F11" s="13"/>
      <c r="G11" s="14"/>
      <c r="H11" s="13"/>
      <c r="I11" s="13"/>
      <c r="J11" s="13"/>
      <c r="K11" s="14"/>
      <c r="L11" s="13"/>
      <c r="M11" s="13"/>
      <c r="N11" s="14"/>
      <c r="O11" s="15"/>
      <c r="P11" s="15"/>
      <c r="Q11" s="15"/>
      <c r="R11" s="16"/>
      <c r="S11" s="15"/>
      <c r="T11" s="15"/>
      <c r="U11" s="15"/>
      <c r="V11" s="16"/>
      <c r="W11" s="15"/>
      <c r="X11" s="15"/>
      <c r="Y11" s="16"/>
      <c r="Z11" s="38"/>
      <c r="AA11" s="38"/>
      <c r="AB11" s="38"/>
      <c r="AC11" s="39"/>
      <c r="AD11" s="38"/>
      <c r="AE11" s="38"/>
      <c r="AF11" s="38"/>
      <c r="AG11" s="39"/>
      <c r="AH11" s="38"/>
      <c r="AI11" s="38"/>
      <c r="AJ11" s="40"/>
    </row>
    <row r="12" spans="1:36" x14ac:dyDescent="0.25">
      <c r="A12" s="10" t="s">
        <v>15</v>
      </c>
      <c r="B12" s="11">
        <v>2026</v>
      </c>
      <c r="C12" s="22" t="s">
        <v>13</v>
      </c>
      <c r="D12" s="13"/>
      <c r="E12" s="13"/>
      <c r="F12" s="13"/>
      <c r="G12" s="14"/>
      <c r="H12" s="13"/>
      <c r="I12" s="13"/>
      <c r="J12" s="13"/>
      <c r="K12" s="14"/>
      <c r="L12" s="13"/>
      <c r="M12" s="13"/>
      <c r="N12" s="14"/>
      <c r="O12" s="15"/>
      <c r="P12" s="15"/>
      <c r="Q12" s="15"/>
      <c r="R12" s="16"/>
      <c r="S12" s="15"/>
      <c r="T12" s="15"/>
      <c r="U12" s="15"/>
      <c r="V12" s="16"/>
      <c r="W12" s="15"/>
      <c r="X12" s="15"/>
      <c r="Y12" s="16"/>
      <c r="Z12" s="38"/>
      <c r="AA12" s="38"/>
      <c r="AB12" s="38"/>
      <c r="AC12" s="39"/>
      <c r="AD12" s="38"/>
      <c r="AE12" s="38"/>
      <c r="AF12" s="38"/>
      <c r="AG12" s="39"/>
      <c r="AH12" s="38"/>
      <c r="AI12" s="38"/>
      <c r="AJ12" s="40"/>
    </row>
    <row r="13" spans="1:36" x14ac:dyDescent="0.25">
      <c r="A13" s="23" t="s">
        <v>15</v>
      </c>
      <c r="B13" s="42">
        <v>2026</v>
      </c>
      <c r="C13" s="24" t="s">
        <v>14</v>
      </c>
      <c r="D13" s="25"/>
      <c r="E13" s="25"/>
      <c r="F13" s="25"/>
      <c r="G13" s="26"/>
      <c r="H13" s="25"/>
      <c r="I13" s="25"/>
      <c r="J13" s="25"/>
      <c r="K13" s="26"/>
      <c r="L13" s="25"/>
      <c r="M13" s="25"/>
      <c r="N13" s="26"/>
      <c r="O13" s="27"/>
      <c r="P13" s="27"/>
      <c r="Q13" s="27"/>
      <c r="R13" s="28"/>
      <c r="S13" s="27"/>
      <c r="T13" s="27"/>
      <c r="U13" s="27"/>
      <c r="V13" s="28"/>
      <c r="W13" s="27"/>
      <c r="X13" s="27"/>
      <c r="Y13" s="28"/>
      <c r="Z13" s="43"/>
      <c r="AA13" s="43"/>
      <c r="AB13" s="43"/>
      <c r="AC13" s="44"/>
      <c r="AD13" s="43"/>
      <c r="AE13" s="43"/>
      <c r="AF13" s="43"/>
      <c r="AG13" s="44"/>
      <c r="AH13" s="43"/>
      <c r="AI13" s="43"/>
      <c r="AJ13" s="4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9F037-0A10-4E7C-A5A0-FFA7BF28F995}">
  <sheetPr codeName="Sheet4"/>
  <dimension ref="A1:AJ13"/>
  <sheetViews>
    <sheetView zoomScale="130" zoomScaleNormal="130" workbookViewId="0">
      <selection activeCell="A10" sqref="A10"/>
    </sheetView>
  </sheetViews>
  <sheetFormatPr defaultRowHeight="15" x14ac:dyDescent="0.25"/>
  <cols>
    <col min="1" max="1" width="18.85546875" customWidth="1"/>
    <col min="2" max="2" width="7.140625" customWidth="1"/>
    <col min="4" max="4" width="22.140625" customWidth="1"/>
    <col min="5" max="5" width="22.5703125" customWidth="1"/>
    <col min="6" max="6" width="23.5703125" customWidth="1"/>
    <col min="7" max="7" width="25.42578125" customWidth="1"/>
    <col min="8" max="8" width="25.140625" customWidth="1"/>
    <col min="9" max="9" width="24.5703125" customWidth="1"/>
    <col min="10" max="10" width="26.42578125" customWidth="1"/>
    <col min="11" max="11" width="28.28515625" customWidth="1"/>
    <col min="12" max="12" width="23.85546875" customWidth="1"/>
    <col min="13" max="13" width="22" customWidth="1"/>
    <col min="14" max="14" width="23.140625" customWidth="1"/>
    <col min="15" max="15" width="22.85546875" customWidth="1"/>
    <col min="16" max="16" width="23.42578125" customWidth="1"/>
    <col min="17" max="17" width="24.42578125" customWidth="1"/>
    <col min="18" max="18" width="26.140625" customWidth="1"/>
    <col min="19" max="19" width="25.85546875" customWidth="1"/>
    <col min="20" max="20" width="25.42578125" customWidth="1"/>
    <col min="21" max="21" width="27.28515625" customWidth="1"/>
    <col min="22" max="22" width="29.140625" customWidth="1"/>
    <col min="23" max="23" width="24.7109375" customWidth="1"/>
    <col min="24" max="24" width="22.85546875" customWidth="1"/>
    <col min="25" max="25" width="23.85546875" customWidth="1"/>
    <col min="26" max="26" width="25.42578125" customWidth="1"/>
    <col min="27" max="27" width="25.85546875" customWidth="1"/>
    <col min="28" max="28" width="26.7109375" customWidth="1"/>
    <col min="29" max="29" width="28.5703125" customWidth="1"/>
    <col min="30" max="30" width="28.28515625" customWidth="1"/>
    <col min="31" max="31" width="27.85546875" customWidth="1"/>
    <col min="32" max="32" width="29.7109375" customWidth="1"/>
    <col min="33" max="33" width="31.5703125" customWidth="1"/>
    <col min="34" max="34" width="27.140625" customWidth="1"/>
    <col min="35" max="35" width="25.28515625" customWidth="1"/>
    <col min="36" max="36" width="26.42578125" customWidth="1"/>
  </cols>
  <sheetData>
    <row r="1" spans="1:36" s="1" customFormat="1" ht="30" x14ac:dyDescent="0.25">
      <c r="A1" s="2" t="s">
        <v>0</v>
      </c>
      <c r="B1" s="3" t="s">
        <v>1</v>
      </c>
      <c r="C1" s="3" t="s">
        <v>2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58</v>
      </c>
      <c r="J1" s="4" t="s">
        <v>21</v>
      </c>
      <c r="K1" s="4" t="s">
        <v>22</v>
      </c>
      <c r="L1" s="4" t="s">
        <v>89</v>
      </c>
      <c r="M1" s="4" t="s">
        <v>23</v>
      </c>
      <c r="N1" s="4" t="s">
        <v>24</v>
      </c>
      <c r="O1" s="5" t="s">
        <v>25</v>
      </c>
      <c r="P1" s="5" t="s">
        <v>26</v>
      </c>
      <c r="Q1" s="5" t="s">
        <v>27</v>
      </c>
      <c r="R1" s="5" t="s">
        <v>28</v>
      </c>
      <c r="S1" s="5" t="s">
        <v>29</v>
      </c>
      <c r="T1" s="5" t="s">
        <v>59</v>
      </c>
      <c r="U1" s="5" t="s">
        <v>30</v>
      </c>
      <c r="V1" s="5" t="s">
        <v>31</v>
      </c>
      <c r="W1" s="5" t="s">
        <v>90</v>
      </c>
      <c r="X1" s="5" t="s">
        <v>32</v>
      </c>
      <c r="Y1" s="5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7" t="s">
        <v>60</v>
      </c>
      <c r="AF1" s="7" t="s">
        <v>39</v>
      </c>
      <c r="AG1" s="7" t="s">
        <v>40</v>
      </c>
      <c r="AH1" s="7" t="s">
        <v>91</v>
      </c>
      <c r="AI1" s="7" t="s">
        <v>41</v>
      </c>
      <c r="AJ1" s="35" t="s">
        <v>42</v>
      </c>
    </row>
    <row r="2" spans="1:36" x14ac:dyDescent="0.25">
      <c r="A2" s="10" t="s">
        <v>43</v>
      </c>
      <c r="B2" s="11">
        <v>2026</v>
      </c>
      <c r="C2" s="12" t="s">
        <v>3</v>
      </c>
      <c r="D2" s="13">
        <v>10092.073767523547</v>
      </c>
      <c r="E2" s="13">
        <v>9062.4969999999994</v>
      </c>
      <c r="F2" s="13">
        <f>Table13[[#This Row],[Monthly Revenue Actuals]]-Table13[[#This Row],[Monthly Revenue Budget]]</f>
        <v>-1029.5767675235475</v>
      </c>
      <c r="G2" s="14">
        <f>(Table13[[#This Row],[Monthly Revenue Variance]]/Table13[[#This Row],[Monthly Revenue Budget]])*100</f>
        <v>-10.201835531927459</v>
      </c>
      <c r="H2" s="13">
        <v>10092.073767523547</v>
      </c>
      <c r="I2" s="13">
        <v>9062.4969999999994</v>
      </c>
      <c r="J2" s="13">
        <f>Table13[[#This Row],[Cumulative Revenue Actual]]-Table13[[#This Row],[Cumulative Revenue Budget]]</f>
        <v>-1029.5767675235475</v>
      </c>
      <c r="K2" s="14">
        <f>(Table13[[#This Row],[Cumulative Revenue Variance]]/Table13[[#This Row],[Cumulative Revenue Budget]])*100</f>
        <v>-10.201835531927459</v>
      </c>
      <c r="L2" s="13">
        <v>209404</v>
      </c>
      <c r="M2" s="13">
        <f>Table13[[#This Row],[Revenue Total Budget 2026]]-Table13[[#This Row],[Cumulative Revenue Actual]]</f>
        <v>200341.503</v>
      </c>
      <c r="N2" s="14">
        <f>(Table13[[#This Row],[Revenue To Be Achieved ]]/Table13[[#This Row],[Revenue Total Budget 2026]])*100</f>
        <v>95.672242650570183</v>
      </c>
      <c r="O2" s="15">
        <v>8047</v>
      </c>
      <c r="P2" s="15">
        <v>4995.4926599999999</v>
      </c>
      <c r="Q2" s="15">
        <f>Table13[[#This Row],[Monthly Expenses Budget]]-Table13[[#This Row],[Monthly Expenses Actuals]]</f>
        <v>3051.5073400000001</v>
      </c>
      <c r="R2" s="16">
        <f>(Table13[[#This Row],[Monthly Expenses Variance]]/Table13[[#This Row],[Monthly Expenses Budget]])*100</f>
        <v>37.921055548651672</v>
      </c>
      <c r="S2" s="15">
        <v>8047</v>
      </c>
      <c r="T2" s="15">
        <v>4995.4926599999999</v>
      </c>
      <c r="U2" s="15">
        <f>Table13[[#This Row],[Cumulative Expenses Budget]]-Table13[[#This Row],[Cumulative Expenses Actual]]</f>
        <v>3051.5073400000001</v>
      </c>
      <c r="V2" s="16">
        <f>(Table13[[#This Row],[Cumulative Expenses Variance]]/Table13[[#This Row],[Cumulative Expenses Budget]])*100</f>
        <v>37.921055548651672</v>
      </c>
      <c r="W2" s="15">
        <v>112446</v>
      </c>
      <c r="X2" s="15">
        <f>Table13[[#This Row],[Expenses Total Budget 2026]]-Table13[[#This Row],[Cumulative Expenses Actual]]</f>
        <v>107450.50734</v>
      </c>
      <c r="Y2" s="16">
        <f>(Table13[[#This Row],[Expenses To Be Achieved ]]/Table13[[#This Row],[Expenses Total Budget 2026]])*100</f>
        <v>95.55742964623019</v>
      </c>
      <c r="Z2" s="38">
        <v>2045</v>
      </c>
      <c r="AA2" s="38">
        <v>4067.0043399999995</v>
      </c>
      <c r="AB2" s="38">
        <f>Table13[[#This Row],[Monthly Contribution Actuals]]-Table13[[#This Row],[Monthly Contribution Budget]]</f>
        <v>2022.0043399999995</v>
      </c>
      <c r="AC2" s="39">
        <f>(Table13[[#This Row],[Monthly Contribution Variance]]/Table13[[#This Row],[Monthly Contribution Budget]])*100</f>
        <v>98.875517848410738</v>
      </c>
      <c r="AD2" s="38">
        <v>2045</v>
      </c>
      <c r="AE2" s="38">
        <v>4067.0043399999995</v>
      </c>
      <c r="AF2" s="38">
        <f>Table13[[#This Row],[Cumulative Contribution Actual]]-Table13[[#This Row],[Cumulative Contribution Budget]]</f>
        <v>2022.0043399999995</v>
      </c>
      <c r="AG2" s="39">
        <f>(Table13[[#This Row],[Cumulative Contribution Variance]]/Table13[[#This Row],[Cumulative Contribution Budget]])*100</f>
        <v>98.875517848410738</v>
      </c>
      <c r="AH2" s="38">
        <v>96957</v>
      </c>
      <c r="AI2" s="38">
        <f>Table13[[#This Row],[Contribution Total Budget 2026]]-Table13[[#This Row],[Cumulative Contribution Actual]]</f>
        <v>92889.99566</v>
      </c>
      <c r="AJ2" s="40">
        <f>(Table13[[#This Row],[Contribution To Be Achieved ]]/Table13[[#This Row],[Contribution Total Budget 2026]])*100</f>
        <v>95.805352537722911</v>
      </c>
    </row>
    <row r="3" spans="1:36" x14ac:dyDescent="0.25">
      <c r="A3" s="10" t="s">
        <v>43</v>
      </c>
      <c r="B3" s="11">
        <v>2026</v>
      </c>
      <c r="C3" s="22" t="s">
        <v>4</v>
      </c>
      <c r="D3" s="13">
        <v>10092.073767523543</v>
      </c>
      <c r="E3" s="13">
        <v>12318.95</v>
      </c>
      <c r="F3" s="13">
        <f>Table13[[#This Row],[Monthly Revenue Actuals]]-Table13[[#This Row],[Monthly Revenue Budget]]</f>
        <v>2226.8762324764575</v>
      </c>
      <c r="G3" s="14">
        <f>(Table13[[#This Row],[Monthly Revenue Variance]]/Table13[[#This Row],[Monthly Revenue Budget]])*100</f>
        <v>22.065596068496657</v>
      </c>
      <c r="H3" s="13">
        <v>20184.14753504709</v>
      </c>
      <c r="I3" s="13">
        <v>21381.447</v>
      </c>
      <c r="J3" s="13">
        <f>Table13[[#This Row],[Cumulative Revenue Actual]]-Table13[[#This Row],[Cumulative Revenue Budget]]</f>
        <v>1197.2994649529101</v>
      </c>
      <c r="K3" s="14">
        <f>(Table13[[#This Row],[Cumulative Revenue Variance]]/Table13[[#This Row],[Cumulative Revenue Budget]])*100</f>
        <v>5.9318802682845968</v>
      </c>
      <c r="L3" s="13">
        <v>209404</v>
      </c>
      <c r="M3" s="13">
        <f>Table13[[#This Row],[Revenue Total Budget 2026]]-Table13[[#This Row],[Cumulative Revenue Actual]]</f>
        <v>188022.55300000001</v>
      </c>
      <c r="N3" s="14">
        <f>(Table13[[#This Row],[Revenue To Be Achieved ]]/Table13[[#This Row],[Revenue Total Budget 2026]])*100</f>
        <v>89.789379859028486</v>
      </c>
      <c r="O3" s="15">
        <v>8047</v>
      </c>
      <c r="P3" s="15">
        <v>11952.50734</v>
      </c>
      <c r="Q3" s="15">
        <f>Table13[[#This Row],[Monthly Expenses Budget]]-Table13[[#This Row],[Monthly Expenses Actuals]]</f>
        <v>-3905.5073400000001</v>
      </c>
      <c r="R3" s="16">
        <f>(Table13[[#This Row],[Monthly Expenses Variance]]/Table13[[#This Row],[Monthly Expenses Budget]])*100</f>
        <v>-48.533706225922707</v>
      </c>
      <c r="S3" s="15">
        <v>16094</v>
      </c>
      <c r="T3" s="15">
        <v>16948</v>
      </c>
      <c r="U3" s="15">
        <f>Table13[[#This Row],[Cumulative Expenses Budget]]-Table13[[#This Row],[Cumulative Expenses Actual]]</f>
        <v>-854</v>
      </c>
      <c r="V3" s="16">
        <f>(Table13[[#This Row],[Cumulative Expenses Variance]]/Table13[[#This Row],[Cumulative Expenses Budget]])*100</f>
        <v>-5.3063253386355163</v>
      </c>
      <c r="W3" s="15">
        <v>112446</v>
      </c>
      <c r="X3" s="15">
        <f>Table13[[#This Row],[Expenses Total Budget 2026]]-Table13[[#This Row],[Cumulative Expenses Actual]]</f>
        <v>95498</v>
      </c>
      <c r="Y3" s="16">
        <f>(Table13[[#This Row],[Expenses To Be Achieved ]]/Table13[[#This Row],[Expenses Total Budget 2026]])*100</f>
        <v>84.927876491827192</v>
      </c>
      <c r="Z3" s="38">
        <v>2045</v>
      </c>
      <c r="AA3" s="38">
        <v>366.9956600000005</v>
      </c>
      <c r="AB3" s="38">
        <f>Table13[[#This Row],[Monthly Contribution Actuals]]-Table13[[#This Row],[Monthly Contribution Budget]]</f>
        <v>-1678.0043399999995</v>
      </c>
      <c r="AC3" s="39">
        <f>(Table13[[#This Row],[Monthly Contribution Variance]]/Table13[[#This Row],[Monthly Contribution Budget]])*100</f>
        <v>-82.054001955990202</v>
      </c>
      <c r="AD3" s="38">
        <v>4090</v>
      </c>
      <c r="AE3" s="38">
        <v>4434</v>
      </c>
      <c r="AF3" s="38">
        <f>Table13[[#This Row],[Cumulative Contribution Actual]]-Table13[[#This Row],[Cumulative Contribution Budget]]</f>
        <v>344</v>
      </c>
      <c r="AG3" s="39">
        <f>(Table13[[#This Row],[Cumulative Contribution Variance]]/Table13[[#This Row],[Cumulative Contribution Budget]])*100</f>
        <v>8.4107579462102695</v>
      </c>
      <c r="AH3" s="38">
        <v>96957</v>
      </c>
      <c r="AI3" s="38">
        <f>Table13[[#This Row],[Contribution Total Budget 2026]]-Table13[[#This Row],[Cumulative Contribution Actual]]</f>
        <v>92523</v>
      </c>
      <c r="AJ3" s="40">
        <f>(Table13[[#This Row],[Contribution To Be Achieved ]]/Table13[[#This Row],[Contribution Total Budget 2026]])*100</f>
        <v>95.426838701692503</v>
      </c>
    </row>
    <row r="4" spans="1:36" x14ac:dyDescent="0.25">
      <c r="A4" s="10" t="s">
        <v>43</v>
      </c>
      <c r="B4" s="11">
        <v>2026</v>
      </c>
      <c r="C4" s="11" t="s">
        <v>5</v>
      </c>
      <c r="D4" s="13">
        <v>15279.85246495291</v>
      </c>
      <c r="E4" s="13">
        <v>16221.553</v>
      </c>
      <c r="F4" s="13">
        <f>Table13[[#This Row],[Monthly Revenue Actuals]]-Table13[[#This Row],[Monthly Revenue Budget]]</f>
        <v>941.70053504708994</v>
      </c>
      <c r="G4" s="14">
        <f>(Table13[[#This Row],[Monthly Revenue Variance]]/Table13[[#This Row],[Monthly Revenue Budget]])*100</f>
        <v>6.1630211234503047</v>
      </c>
      <c r="H4" s="13">
        <v>35464</v>
      </c>
      <c r="I4" s="13">
        <v>37603</v>
      </c>
      <c r="J4" s="13">
        <f>Table13[[#This Row],[Cumulative Revenue Actual]]-Table13[[#This Row],[Cumulative Revenue Budget]]</f>
        <v>2139</v>
      </c>
      <c r="K4" s="14">
        <f>(Table13[[#This Row],[Cumulative Revenue Variance]]/Table13[[#This Row],[Cumulative Revenue Budget]])*100</f>
        <v>6.0314685314685317</v>
      </c>
      <c r="L4" s="13">
        <v>209404</v>
      </c>
      <c r="M4" s="13">
        <f>Table13[[#This Row],[Revenue Total Budget 2026]]-Table13[[#This Row],[Cumulative Revenue Actual]]</f>
        <v>171801</v>
      </c>
      <c r="N4" s="14">
        <f>(Table13[[#This Row],[Revenue To Be Achieved ]]/Table13[[#This Row],[Revenue Total Budget 2026]])*100</f>
        <v>82.042845408874712</v>
      </c>
      <c r="O4" s="15">
        <v>8807</v>
      </c>
      <c r="P4" s="15">
        <v>9221</v>
      </c>
      <c r="Q4" s="15">
        <f>Table13[[#This Row],[Monthly Expenses Budget]]-Table13[[#This Row],[Monthly Expenses Actuals]]</f>
        <v>-414</v>
      </c>
      <c r="R4" s="16">
        <f>(Table13[[#This Row],[Monthly Expenses Variance]]/Table13[[#This Row],[Monthly Expenses Budget]])*100</f>
        <v>-4.7008061769047353</v>
      </c>
      <c r="S4" s="15">
        <v>24901</v>
      </c>
      <c r="T4" s="15">
        <v>26169</v>
      </c>
      <c r="U4" s="15">
        <f>Table13[[#This Row],[Cumulative Expenses Budget]]-Table13[[#This Row],[Cumulative Expenses Actual]]</f>
        <v>-1268</v>
      </c>
      <c r="V4" s="16">
        <f>(Table13[[#This Row],[Cumulative Expenses Variance]]/Table13[[#This Row],[Cumulative Expenses Budget]])*100</f>
        <v>-5.0921649732942447</v>
      </c>
      <c r="W4" s="15">
        <v>112446</v>
      </c>
      <c r="X4" s="15">
        <f>Table13[[#This Row],[Expenses Total Budget 2026]]-Table13[[#This Row],[Cumulative Expenses Actual]]</f>
        <v>86277</v>
      </c>
      <c r="Y4" s="16">
        <f>(Table13[[#This Row],[Expenses To Be Achieved ]]/Table13[[#This Row],[Expenses Total Budget 2026]])*100</f>
        <v>76.727495864681714</v>
      </c>
      <c r="Z4" s="38">
        <v>6473</v>
      </c>
      <c r="AA4" s="38">
        <v>7000</v>
      </c>
      <c r="AB4" s="38">
        <f>Table13[[#This Row],[Monthly Contribution Actuals]]-Table13[[#This Row],[Monthly Contribution Budget]]</f>
        <v>527</v>
      </c>
      <c r="AC4" s="39">
        <f>(Table13[[#This Row],[Monthly Contribution Variance]]/Table13[[#This Row],[Monthly Contribution Budget]])*100</f>
        <v>8.1415108913950256</v>
      </c>
      <c r="AD4" s="38">
        <v>10563</v>
      </c>
      <c r="AE4" s="38">
        <v>11434</v>
      </c>
      <c r="AF4" s="38">
        <f>Table13[[#This Row],[Cumulative Contribution Actual]]-Table13[[#This Row],[Cumulative Contribution Budget]]</f>
        <v>871</v>
      </c>
      <c r="AG4" s="39">
        <f>(Table13[[#This Row],[Cumulative Contribution Variance]]/Table13[[#This Row],[Cumulative Contribution Budget]])*100</f>
        <v>8.2457635141531753</v>
      </c>
      <c r="AH4" s="38">
        <v>96957</v>
      </c>
      <c r="AI4" s="38">
        <f>Table13[[#This Row],[Contribution Total Budget 2026]]-Table13[[#This Row],[Cumulative Contribution Actual]]</f>
        <v>85523</v>
      </c>
      <c r="AJ4" s="40">
        <f>(Table13[[#This Row],[Contribution To Be Achieved ]]/Table13[[#This Row],[Contribution Total Budget 2026]])*100</f>
        <v>88.20714337283539</v>
      </c>
    </row>
    <row r="5" spans="1:36" x14ac:dyDescent="0.25">
      <c r="A5" s="10" t="s">
        <v>43</v>
      </c>
      <c r="B5" s="11">
        <v>2026</v>
      </c>
      <c r="C5" s="22" t="s">
        <v>6</v>
      </c>
      <c r="D5" s="13">
        <v>10431</v>
      </c>
      <c r="E5" s="13">
        <v>20783</v>
      </c>
      <c r="F5" s="13">
        <f>Table13[[#This Row],[Monthly Revenue Actuals]]-Table13[[#This Row],[Monthly Revenue Budget]]</f>
        <v>10352</v>
      </c>
      <c r="G5" s="14">
        <f>(Table13[[#This Row],[Monthly Revenue Variance]]/Table13[[#This Row],[Monthly Revenue Budget]])*100</f>
        <v>99.24264212443677</v>
      </c>
      <c r="H5" s="13">
        <v>45895</v>
      </c>
      <c r="I5" s="13">
        <v>58386</v>
      </c>
      <c r="J5" s="13">
        <f>Table13[[#This Row],[Cumulative Revenue Actual]]-Table13[[#This Row],[Cumulative Revenue Budget]]</f>
        <v>12491</v>
      </c>
      <c r="K5" s="14">
        <f>(Table13[[#This Row],[Cumulative Revenue Variance]]/Table13[[#This Row],[Cumulative Revenue Budget]])*100</f>
        <v>27.216472382612483</v>
      </c>
      <c r="L5" s="13">
        <v>209404</v>
      </c>
      <c r="M5" s="13">
        <f>Table13[[#This Row],[Revenue Total Budget 2026]]-Table13[[#This Row],[Cumulative Revenue Actual]]</f>
        <v>151018</v>
      </c>
      <c r="N5" s="14">
        <f>(Table13[[#This Row],[Revenue To Be Achieved ]]/Table13[[#This Row],[Revenue Total Budget 2026]])*100</f>
        <v>72.11801111726615</v>
      </c>
      <c r="O5" s="15">
        <v>8327</v>
      </c>
      <c r="P5" s="15">
        <v>9997</v>
      </c>
      <c r="Q5" s="15">
        <f>Table13[[#This Row],[Monthly Expenses Budget]]-Table13[[#This Row],[Monthly Expenses Actuals]]</f>
        <v>-1670</v>
      </c>
      <c r="R5" s="16">
        <f>(Table13[[#This Row],[Monthly Expenses Variance]]/Table13[[#This Row],[Monthly Expenses Budget]])*100</f>
        <v>-20.05524198390777</v>
      </c>
      <c r="S5" s="15">
        <v>33228</v>
      </c>
      <c r="T5" s="15">
        <v>36166</v>
      </c>
      <c r="U5" s="15">
        <f>Table13[[#This Row],[Cumulative Expenses Budget]]-Table13[[#This Row],[Cumulative Expenses Actual]]</f>
        <v>-2938</v>
      </c>
      <c r="V5" s="16">
        <f>(Table13[[#This Row],[Cumulative Expenses Variance]]/Table13[[#This Row],[Cumulative Expenses Budget]])*100</f>
        <v>-8.8419405320813773</v>
      </c>
      <c r="W5" s="15">
        <v>112446</v>
      </c>
      <c r="X5" s="15">
        <f>Table13[[#This Row],[Expenses Total Budget 2026]]-Table13[[#This Row],[Cumulative Expenses Actual]]</f>
        <v>76280</v>
      </c>
      <c r="Y5" s="16">
        <f>(Table13[[#This Row],[Expenses To Be Achieved ]]/Table13[[#This Row],[Expenses Total Budget 2026]])*100</f>
        <v>67.837006207424011</v>
      </c>
      <c r="Z5" s="38">
        <v>2104</v>
      </c>
      <c r="AA5" s="38">
        <v>10786</v>
      </c>
      <c r="AB5" s="38">
        <f>Table13[[#This Row],[Monthly Contribution Actuals]]-Table13[[#This Row],[Monthly Contribution Budget]]</f>
        <v>8682</v>
      </c>
      <c r="AC5" s="39">
        <f>(Table13[[#This Row],[Monthly Contribution Variance]]/Table13[[#This Row],[Monthly Contribution Budget]])*100</f>
        <v>412.64258555133085</v>
      </c>
      <c r="AD5" s="38">
        <v>12667</v>
      </c>
      <c r="AE5" s="38">
        <v>22220</v>
      </c>
      <c r="AF5" s="38">
        <f>Table13[[#This Row],[Cumulative Contribution Actual]]-Table13[[#This Row],[Cumulative Contribution Budget]]</f>
        <v>9553</v>
      </c>
      <c r="AG5" s="39">
        <f>(Table13[[#This Row],[Cumulative Contribution Variance]]/Table13[[#This Row],[Cumulative Contribution Budget]])*100</f>
        <v>75.416436409568163</v>
      </c>
      <c r="AH5" s="38">
        <v>96957</v>
      </c>
      <c r="AI5" s="38">
        <f>Table13[[#This Row],[Contribution Total Budget 2026]]-Table13[[#This Row],[Cumulative Contribution Actual]]</f>
        <v>74737</v>
      </c>
      <c r="AJ5" s="40">
        <f>(Table13[[#This Row],[Contribution To Be Achieved ]]/Table13[[#This Row],[Contribution Total Budget 2026]])*100</f>
        <v>77.082624256113533</v>
      </c>
    </row>
    <row r="6" spans="1:36" x14ac:dyDescent="0.25">
      <c r="A6" s="10" t="s">
        <v>43</v>
      </c>
      <c r="B6" s="11">
        <v>2026</v>
      </c>
      <c r="C6" s="11" t="s">
        <v>7</v>
      </c>
      <c r="D6" s="13">
        <v>14236</v>
      </c>
      <c r="E6" s="13">
        <v>19981</v>
      </c>
      <c r="F6" s="13">
        <f>Table13[[#This Row],[Monthly Revenue Actuals]]-Table13[[#This Row],[Monthly Revenue Budget]]</f>
        <v>5745</v>
      </c>
      <c r="G6" s="14">
        <f>(Table13[[#This Row],[Monthly Revenue Variance]]/Table13[[#This Row],[Monthly Revenue Budget]])*100</f>
        <v>40.355436920483285</v>
      </c>
      <c r="H6" s="13">
        <v>60131</v>
      </c>
      <c r="I6" s="13">
        <v>78367</v>
      </c>
      <c r="J6" s="13">
        <f>Table13[[#This Row],[Cumulative Revenue Actual]]-Table13[[#This Row],[Cumulative Revenue Budget]]</f>
        <v>18236</v>
      </c>
      <c r="K6" s="14">
        <f>(Table13[[#This Row],[Cumulative Revenue Variance]]/Table13[[#This Row],[Cumulative Revenue Budget]])*100</f>
        <v>30.327119123247577</v>
      </c>
      <c r="L6" s="13">
        <v>209404</v>
      </c>
      <c r="M6" s="13">
        <f>Table13[[#This Row],[Revenue Total Budget 2026]]-Table13[[#This Row],[Cumulative Revenue Actual]]</f>
        <v>131037</v>
      </c>
      <c r="N6" s="14">
        <f>(Table13[[#This Row],[Revenue To Be Achieved ]]/Table13[[#This Row],[Revenue Total Budget 2026]])*100</f>
        <v>62.576168554564383</v>
      </c>
      <c r="O6" s="15">
        <v>8871</v>
      </c>
      <c r="P6" s="15">
        <v>8050</v>
      </c>
      <c r="Q6" s="15">
        <f>Table13[[#This Row],[Monthly Expenses Budget]]-Table13[[#This Row],[Monthly Expenses Actuals]]</f>
        <v>821</v>
      </c>
      <c r="R6" s="16">
        <f>(Table13[[#This Row],[Monthly Expenses Variance]]/Table13[[#This Row],[Monthly Expenses Budget]])*100</f>
        <v>9.2548754368165937</v>
      </c>
      <c r="S6" s="15">
        <v>42099</v>
      </c>
      <c r="T6" s="15">
        <v>44216</v>
      </c>
      <c r="U6" s="15">
        <f>Table13[[#This Row],[Cumulative Expenses Budget]]-Table13[[#This Row],[Cumulative Expenses Actual]]</f>
        <v>-2117</v>
      </c>
      <c r="V6" s="16">
        <f>(Table13[[#This Row],[Cumulative Expenses Variance]]/Table13[[#This Row],[Cumulative Expenses Budget]])*100</f>
        <v>-5.0286230076723912</v>
      </c>
      <c r="W6" s="15">
        <v>112446</v>
      </c>
      <c r="X6" s="15">
        <f>Table13[[#This Row],[Expenses Total Budget 2026]]-Table13[[#This Row],[Cumulative Expenses Actual]]</f>
        <v>68230</v>
      </c>
      <c r="Y6" s="16">
        <f>(Table13[[#This Row],[Expenses To Be Achieved ]]/Table13[[#This Row],[Expenses Total Budget 2026]])*100</f>
        <v>60.678014335770058</v>
      </c>
      <c r="Z6" s="38">
        <v>5365</v>
      </c>
      <c r="AA6" s="38">
        <v>11932</v>
      </c>
      <c r="AB6" s="38">
        <f>Table13[[#This Row],[Monthly Contribution Actuals]]-Table13[[#This Row],[Monthly Contribution Budget]]</f>
        <v>6567</v>
      </c>
      <c r="AC6" s="39">
        <f>(Table13[[#This Row],[Monthly Contribution Variance]]/Table13[[#This Row],[Monthly Contribution Budget]])*100</f>
        <v>122.4044734389562</v>
      </c>
      <c r="AD6" s="38">
        <v>18032</v>
      </c>
      <c r="AE6" s="38">
        <v>34152</v>
      </c>
      <c r="AF6" s="38">
        <f>Table13[[#This Row],[Cumulative Contribution Actual]]-Table13[[#This Row],[Cumulative Contribution Budget]]</f>
        <v>16120</v>
      </c>
      <c r="AG6" s="39">
        <f>(Table13[[#This Row],[Cumulative Contribution Variance]]/Table13[[#This Row],[Cumulative Contribution Budget]])*100</f>
        <v>89.396628216503998</v>
      </c>
      <c r="AH6" s="38">
        <v>96957</v>
      </c>
      <c r="AI6" s="38">
        <f>Table13[[#This Row],[Contribution Total Budget 2026]]-Table13[[#This Row],[Cumulative Contribution Actual]]</f>
        <v>62805</v>
      </c>
      <c r="AJ6" s="40">
        <f>(Table13[[#This Row],[Contribution To Be Achieved ]]/Table13[[#This Row],[Contribution Total Budget 2026]])*100</f>
        <v>64.776137875553076</v>
      </c>
    </row>
    <row r="7" spans="1:36" x14ac:dyDescent="0.25">
      <c r="A7" s="10" t="s">
        <v>43</v>
      </c>
      <c r="B7" s="11">
        <v>2026</v>
      </c>
      <c r="C7" s="22" t="s">
        <v>8</v>
      </c>
      <c r="D7" s="13">
        <v>38067</v>
      </c>
      <c r="E7" s="13">
        <v>7596</v>
      </c>
      <c r="F7" s="13">
        <f>Table13[[#This Row],[Monthly Revenue Actuals]]-Table13[[#This Row],[Monthly Revenue Budget]]</f>
        <v>-30471</v>
      </c>
      <c r="G7" s="14">
        <f>(Table13[[#This Row],[Monthly Revenue Variance]]/Table13[[#This Row],[Monthly Revenue Budget]])*100</f>
        <v>-80.045708881708563</v>
      </c>
      <c r="H7" s="13">
        <v>98198</v>
      </c>
      <c r="I7" s="13">
        <v>86054</v>
      </c>
      <c r="J7" s="13">
        <f>Table13[[#This Row],[Cumulative Revenue Actual]]-Table13[[#This Row],[Cumulative Revenue Budget]]</f>
        <v>-12144</v>
      </c>
      <c r="K7" s="14">
        <f>(Table13[[#This Row],[Cumulative Revenue Variance]]/Table13[[#This Row],[Cumulative Revenue Budget]])*100</f>
        <v>-12.366850648689383</v>
      </c>
      <c r="L7" s="13">
        <v>209404</v>
      </c>
      <c r="M7" s="13">
        <f>Table13[[#This Row],[Revenue Total Budget 2026]]-Table13[[#This Row],[Cumulative Revenue Actual]]</f>
        <v>123350</v>
      </c>
      <c r="N7" s="14">
        <f>(Table13[[#This Row],[Revenue To Be Achieved ]]/Table13[[#This Row],[Revenue Total Budget 2026]])*100</f>
        <v>58.905274015778112</v>
      </c>
      <c r="O7" s="15">
        <v>13096</v>
      </c>
      <c r="P7" s="15">
        <v>8853</v>
      </c>
      <c r="Q7" s="15">
        <f>Table13[[#This Row],[Monthly Expenses Budget]]-Table13[[#This Row],[Monthly Expenses Actuals]]</f>
        <v>4243</v>
      </c>
      <c r="R7" s="16">
        <f>(Table13[[#This Row],[Monthly Expenses Variance]]/Table13[[#This Row],[Monthly Expenses Budget]])*100</f>
        <v>32.399205864386069</v>
      </c>
      <c r="S7" s="15">
        <v>55195</v>
      </c>
      <c r="T7" s="15">
        <v>53069</v>
      </c>
      <c r="U7" s="15">
        <f>Table13[[#This Row],[Cumulative Expenses Budget]]-Table13[[#This Row],[Cumulative Expenses Actual]]</f>
        <v>2126</v>
      </c>
      <c r="V7" s="16">
        <f>(Table13[[#This Row],[Cumulative Expenses Variance]]/Table13[[#This Row],[Cumulative Expenses Budget]])*100</f>
        <v>3.8517981701241051</v>
      </c>
      <c r="W7" s="15">
        <v>112446</v>
      </c>
      <c r="X7" s="15">
        <f>Table13[[#This Row],[Expenses Total Budget 2026]]-Table13[[#This Row],[Cumulative Expenses Actual]]</f>
        <v>59377</v>
      </c>
      <c r="Y7" s="16">
        <f>(Table13[[#This Row],[Expenses To Be Achieved ]]/Table13[[#This Row],[Expenses Total Budget 2026]])*100</f>
        <v>52.804901908471621</v>
      </c>
      <c r="Z7" s="38">
        <v>24971</v>
      </c>
      <c r="AA7" s="38">
        <v>-1258</v>
      </c>
      <c r="AB7" s="38">
        <f>Table13[[#This Row],[Monthly Contribution Actuals]]-Table13[[#This Row],[Monthly Contribution Budget]]</f>
        <v>-26229</v>
      </c>
      <c r="AC7" s="39">
        <f>(Table13[[#This Row],[Monthly Contribution Variance]]/Table13[[#This Row],[Monthly Contribution Budget]])*100</f>
        <v>-105.03784389892274</v>
      </c>
      <c r="AD7" s="38">
        <v>43003</v>
      </c>
      <c r="AE7" s="38">
        <v>32984</v>
      </c>
      <c r="AF7" s="38">
        <f>Table13[[#This Row],[Cumulative Contribution Actual]]-Table13[[#This Row],[Cumulative Contribution Budget]]</f>
        <v>-10019</v>
      </c>
      <c r="AG7" s="39">
        <f>(Table13[[#This Row],[Cumulative Contribution Variance]]/Table13[[#This Row],[Cumulative Contribution Budget]])*100</f>
        <v>-23.298374532009394</v>
      </c>
      <c r="AH7" s="38">
        <v>96957</v>
      </c>
      <c r="AI7" s="38">
        <f>Table13[[#This Row],[Contribution Total Budget 2026]]-Table13[[#This Row],[Cumulative Contribution Actual]]</f>
        <v>63973</v>
      </c>
      <c r="AJ7" s="40">
        <f>(Table13[[#This Row],[Contribution To Be Achieved ]]/Table13[[#This Row],[Contribution Total Budget 2026]])*100</f>
        <v>65.980795610425233</v>
      </c>
    </row>
    <row r="8" spans="1:36" x14ac:dyDescent="0.25">
      <c r="A8" s="10" t="s">
        <v>43</v>
      </c>
      <c r="B8" s="11">
        <v>2026</v>
      </c>
      <c r="C8" s="11" t="s">
        <v>9</v>
      </c>
      <c r="D8" s="13">
        <f>Table13[[#This Row],[Cumulative Revenue Budget]]-H7</f>
        <v>10739</v>
      </c>
      <c r="E8" s="13">
        <f>Table13[[#This Row],[Cumulative Revenue Actual]]-I7</f>
        <v>7480</v>
      </c>
      <c r="F8" s="13">
        <f>Table13[[#This Row],[Monthly Revenue Actuals]]-Table13[[#This Row],[Monthly Revenue Budget]]</f>
        <v>-3259</v>
      </c>
      <c r="G8" s="14">
        <f>(Table13[[#This Row],[Monthly Revenue Variance]]/Table13[[#This Row],[Monthly Revenue Budget]])*100</f>
        <v>-30.347332153831829</v>
      </c>
      <c r="H8" s="13">
        <v>108937</v>
      </c>
      <c r="I8" s="13">
        <v>93534</v>
      </c>
      <c r="J8" s="13">
        <f>Table13[[#This Row],[Cumulative Revenue Actual]]-Table13[[#This Row],[Cumulative Revenue Budget]]</f>
        <v>-15403</v>
      </c>
      <c r="K8" s="14">
        <f>(Table13[[#This Row],[Cumulative Revenue Variance]]/Table13[[#This Row],[Cumulative Revenue Budget]])*100</f>
        <v>-14.139364954056013</v>
      </c>
      <c r="L8" s="13">
        <v>209404</v>
      </c>
      <c r="M8" s="13">
        <f>Table13[[#This Row],[Revenue Total Budget 2026]]-Table13[[#This Row],[Cumulative Revenue Actual]]</f>
        <v>115870</v>
      </c>
      <c r="N8" s="14">
        <f>(Table13[[#This Row],[Revenue To Be Achieved ]]/Table13[[#This Row],[Revenue Total Budget 2026]])*100</f>
        <v>55.333231456896712</v>
      </c>
      <c r="O8" s="15">
        <f>Table13[[#This Row],[Cumulative Expenses Budget]]-S7</f>
        <v>8170</v>
      </c>
      <c r="P8" s="15">
        <f>Table13[[#This Row],[Cumulative Expenses Actual]]-T7</f>
        <v>1780</v>
      </c>
      <c r="Q8" s="15">
        <f>Table13[[#This Row],[Monthly Expenses Budget]]-Table13[[#This Row],[Monthly Expenses Actuals]]</f>
        <v>6390</v>
      </c>
      <c r="R8" s="16">
        <f>(Table13[[#This Row],[Monthly Expenses Variance]]/Table13[[#This Row],[Monthly Expenses Budget]])*100</f>
        <v>78.21297429620563</v>
      </c>
      <c r="S8" s="15">
        <v>63365</v>
      </c>
      <c r="T8" s="15">
        <v>54849</v>
      </c>
      <c r="U8" s="15">
        <f>Table13[[#This Row],[Cumulative Expenses Budget]]-Table13[[#This Row],[Cumulative Expenses Actual]]</f>
        <v>8516</v>
      </c>
      <c r="V8" s="16">
        <f>(Table13[[#This Row],[Cumulative Expenses Variance]]/Table13[[#This Row],[Cumulative Expenses Budget]])*100</f>
        <v>13.439595991477946</v>
      </c>
      <c r="W8" s="15">
        <v>112446</v>
      </c>
      <c r="X8" s="15">
        <f>Table13[[#This Row],[Expenses Total Budget 2026]]-Table13[[#This Row],[Cumulative Expenses Actual]]</f>
        <v>57597</v>
      </c>
      <c r="Y8" s="16">
        <f>(Table13[[#This Row],[Expenses To Be Achieved ]]/Table13[[#This Row],[Expenses Total Budget 2026]])*100</f>
        <v>51.221919854863671</v>
      </c>
      <c r="Z8" s="38">
        <f>Table13[[#This Row],[Cumulative Contribution Budget]]-AD7</f>
        <v>2569</v>
      </c>
      <c r="AA8" s="38">
        <f>Table13[[#This Row],[Cumulative Contribution Actual]]-AE7</f>
        <v>5701</v>
      </c>
      <c r="AB8" s="38">
        <f>Table13[[#This Row],[Monthly Contribution Actuals]]-Table13[[#This Row],[Monthly Contribution Budget]]</f>
        <v>3132</v>
      </c>
      <c r="AC8" s="39">
        <f>(Table13[[#This Row],[Monthly Contribution Variance]]/Table13[[#This Row],[Monthly Contribution Budget]])*100</f>
        <v>121.91514207862981</v>
      </c>
      <c r="AD8" s="38">
        <v>45572</v>
      </c>
      <c r="AE8" s="38">
        <v>38685</v>
      </c>
      <c r="AF8" s="38">
        <f>Table13[[#This Row],[Cumulative Contribution Actual]]-Table13[[#This Row],[Cumulative Contribution Budget]]</f>
        <v>-6887</v>
      </c>
      <c r="AG8" s="39">
        <f>(Table13[[#This Row],[Cumulative Contribution Variance]]/Table13[[#This Row],[Cumulative Contribution Budget]])*100</f>
        <v>-15.11234968840516</v>
      </c>
      <c r="AH8" s="38">
        <v>96957</v>
      </c>
      <c r="AI8" s="38">
        <f>Table13[[#This Row],[Contribution Total Budget 2026]]-Table13[[#This Row],[Cumulative Contribution Actual]]</f>
        <v>58272</v>
      </c>
      <c r="AJ8" s="40">
        <f>(Table13[[#This Row],[Contribution To Be Achieved ]]/Table13[[#This Row],[Contribution Total Budget 2026]])*100</f>
        <v>60.100869457594605</v>
      </c>
    </row>
    <row r="9" spans="1:36" x14ac:dyDescent="0.25">
      <c r="A9" s="10" t="s">
        <v>43</v>
      </c>
      <c r="B9" s="11">
        <v>2026</v>
      </c>
      <c r="C9" s="22" t="s">
        <v>10</v>
      </c>
      <c r="D9" s="13">
        <f>Table13[[#This Row],[Cumulative Revenue Budget]]-H8</f>
        <v>10740</v>
      </c>
      <c r="E9" s="13">
        <f>Table13[[#This Row],[Cumulative Revenue Actual]]-I8</f>
        <v>10147</v>
      </c>
      <c r="F9" s="13">
        <f>Table13[[#This Row],[Monthly Revenue Actuals]]-Table13[[#This Row],[Monthly Revenue Budget]]</f>
        <v>-593</v>
      </c>
      <c r="G9" s="14">
        <f>(Table13[[#This Row],[Monthly Revenue Variance]]/Table13[[#This Row],[Monthly Revenue Budget]])*100</f>
        <v>-5.5214152700186219</v>
      </c>
      <c r="H9" s="13">
        <v>119677</v>
      </c>
      <c r="I9" s="13">
        <v>103681</v>
      </c>
      <c r="J9" s="13">
        <f>Table13[[#This Row],[Cumulative Revenue Actual]]-Table13[[#This Row],[Cumulative Revenue Budget]]</f>
        <v>-15996</v>
      </c>
      <c r="K9" s="14">
        <f>(Table13[[#This Row],[Cumulative Revenue Variance]]/Table13[[#This Row],[Cumulative Revenue Budget]])*100</f>
        <v>-13.365976754096442</v>
      </c>
      <c r="L9" s="13">
        <v>209404</v>
      </c>
      <c r="M9" s="13">
        <f>Table13[[#This Row],[Revenue Total Budget 2026]]-Table13[[#This Row],[Cumulative Revenue Actual]]</f>
        <v>105723</v>
      </c>
      <c r="N9" s="14">
        <f>(Table13[[#This Row],[Revenue To Be Achieved ]]/Table13[[#This Row],[Revenue Total Budget 2026]])*100</f>
        <v>50.487574258371382</v>
      </c>
      <c r="O9" s="15">
        <f>Table13[[#This Row],[Cumulative Expenses Budget]]-S8</f>
        <v>8170</v>
      </c>
      <c r="P9" s="15">
        <f>Table13[[#This Row],[Cumulative Expenses Actual]]-T8</f>
        <v>7256</v>
      </c>
      <c r="Q9" s="15">
        <f>Table13[[#This Row],[Monthly Expenses Budget]]-Table13[[#This Row],[Monthly Expenses Actuals]]</f>
        <v>914</v>
      </c>
      <c r="R9" s="16">
        <f>(Table13[[#This Row],[Monthly Expenses Variance]]/Table13[[#This Row],[Monthly Expenses Budget]])*100</f>
        <v>11.187270501835986</v>
      </c>
      <c r="S9" s="15">
        <v>71535</v>
      </c>
      <c r="T9" s="15">
        <v>62105</v>
      </c>
      <c r="U9" s="15">
        <f>Table13[[#This Row],[Cumulative Expenses Budget]]-Table13[[#This Row],[Cumulative Expenses Actual]]</f>
        <v>9430</v>
      </c>
      <c r="V9" s="16">
        <f>(Table13[[#This Row],[Cumulative Expenses Variance]]/Table13[[#This Row],[Cumulative Expenses Budget]])*100</f>
        <v>13.182358286153631</v>
      </c>
      <c r="W9" s="15">
        <v>112446</v>
      </c>
      <c r="X9" s="15">
        <f>Table13[[#This Row],[Expenses Total Budget 2026]]-Table13[[#This Row],[Cumulative Expenses Actual]]</f>
        <v>50341</v>
      </c>
      <c r="Y9" s="16">
        <f>(Table13[[#This Row],[Expenses To Be Achieved ]]/Table13[[#This Row],[Expenses Total Budget 2026]])*100</f>
        <v>44.769044697010116</v>
      </c>
      <c r="Z9" s="38">
        <f>Table13[[#This Row],[Cumulative Contribution Budget]]-AD8</f>
        <v>2570</v>
      </c>
      <c r="AA9" s="38">
        <f>Table13[[#This Row],[Cumulative Contribution Actual]]-AE8</f>
        <v>2892</v>
      </c>
      <c r="AB9" s="38">
        <f>Table13[[#This Row],[Monthly Contribution Actuals]]-Table13[[#This Row],[Monthly Contribution Budget]]</f>
        <v>322</v>
      </c>
      <c r="AC9" s="39">
        <f>(Table13[[#This Row],[Monthly Contribution Variance]]/Table13[[#This Row],[Monthly Contribution Budget]])*100</f>
        <v>12.529182879377432</v>
      </c>
      <c r="AD9" s="38">
        <v>48142</v>
      </c>
      <c r="AE9" s="38">
        <v>41577</v>
      </c>
      <c r="AF9" s="38">
        <f>Table13[[#This Row],[Cumulative Contribution Actual]]-Table13[[#This Row],[Cumulative Contribution Budget]]</f>
        <v>-6565</v>
      </c>
      <c r="AG9" s="39">
        <f>(Table13[[#This Row],[Cumulative Contribution Variance]]/Table13[[#This Row],[Cumulative Contribution Budget]])*100</f>
        <v>-13.63674130696689</v>
      </c>
      <c r="AH9" s="38">
        <v>96957</v>
      </c>
      <c r="AI9" s="38">
        <f>Table13[[#This Row],[Contribution Total Budget 2026]]-Table13[[#This Row],[Cumulative Contribution Actual]]</f>
        <v>55380</v>
      </c>
      <c r="AJ9" s="40">
        <f>(Table13[[#This Row],[Contribution To Be Achieved ]]/Table13[[#This Row],[Contribution Total Budget 2026]])*100</f>
        <v>57.118103901729633</v>
      </c>
    </row>
    <row r="10" spans="1:36" x14ac:dyDescent="0.25">
      <c r="A10" s="10" t="s">
        <v>43</v>
      </c>
      <c r="B10" s="11">
        <v>2026</v>
      </c>
      <c r="C10" s="11" t="s">
        <v>11</v>
      </c>
      <c r="D10" s="13"/>
      <c r="E10" s="13"/>
      <c r="F10" s="13"/>
      <c r="G10" s="14"/>
      <c r="H10" s="13"/>
      <c r="I10" s="13"/>
      <c r="J10" s="13"/>
      <c r="K10" s="14"/>
      <c r="L10" s="13"/>
      <c r="M10" s="13"/>
      <c r="N10" s="14"/>
      <c r="O10" s="15"/>
      <c r="P10" s="15"/>
      <c r="Q10" s="15"/>
      <c r="R10" s="16"/>
      <c r="S10" s="15"/>
      <c r="T10" s="15"/>
      <c r="U10" s="15"/>
      <c r="V10" s="16"/>
      <c r="W10" s="15"/>
      <c r="X10" s="15"/>
      <c r="Y10" s="16"/>
      <c r="Z10" s="38"/>
      <c r="AA10" s="38"/>
      <c r="AB10" s="38"/>
      <c r="AC10" s="39"/>
      <c r="AD10" s="38"/>
      <c r="AE10" s="38"/>
      <c r="AF10" s="38"/>
      <c r="AG10" s="39"/>
      <c r="AH10" s="38"/>
      <c r="AI10" s="38"/>
      <c r="AJ10" s="40"/>
    </row>
    <row r="11" spans="1:36" x14ac:dyDescent="0.25">
      <c r="A11" s="10" t="s">
        <v>43</v>
      </c>
      <c r="B11" s="11">
        <v>2026</v>
      </c>
      <c r="C11" s="22" t="s">
        <v>12</v>
      </c>
      <c r="D11" s="13"/>
      <c r="E11" s="13"/>
      <c r="F11" s="13"/>
      <c r="G11" s="14"/>
      <c r="H11" s="13"/>
      <c r="I11" s="13"/>
      <c r="J11" s="13"/>
      <c r="K11" s="14"/>
      <c r="L11" s="13"/>
      <c r="M11" s="13"/>
      <c r="N11" s="14"/>
      <c r="O11" s="15"/>
      <c r="P11" s="15"/>
      <c r="Q11" s="15"/>
      <c r="R11" s="16"/>
      <c r="S11" s="15"/>
      <c r="T11" s="15"/>
      <c r="U11" s="15"/>
      <c r="V11" s="16"/>
      <c r="W11" s="15"/>
      <c r="X11" s="15"/>
      <c r="Y11" s="16"/>
      <c r="Z11" s="38"/>
      <c r="AA11" s="38"/>
      <c r="AB11" s="38"/>
      <c r="AC11" s="39"/>
      <c r="AD11" s="38"/>
      <c r="AE11" s="38"/>
      <c r="AF11" s="38"/>
      <c r="AG11" s="39"/>
      <c r="AH11" s="38"/>
      <c r="AI11" s="38"/>
      <c r="AJ11" s="40"/>
    </row>
    <row r="12" spans="1:36" x14ac:dyDescent="0.25">
      <c r="A12" s="10" t="s">
        <v>43</v>
      </c>
      <c r="B12" s="11">
        <v>2026</v>
      </c>
      <c r="C12" s="11" t="s">
        <v>13</v>
      </c>
      <c r="D12" s="13"/>
      <c r="E12" s="13"/>
      <c r="F12" s="13"/>
      <c r="G12" s="14"/>
      <c r="H12" s="13"/>
      <c r="I12" s="13"/>
      <c r="J12" s="13"/>
      <c r="K12" s="14"/>
      <c r="L12" s="13"/>
      <c r="M12" s="13"/>
      <c r="N12" s="14"/>
      <c r="O12" s="15"/>
      <c r="P12" s="15"/>
      <c r="Q12" s="15"/>
      <c r="R12" s="16"/>
      <c r="S12" s="15"/>
      <c r="T12" s="15"/>
      <c r="U12" s="15"/>
      <c r="V12" s="16"/>
      <c r="W12" s="15"/>
      <c r="X12" s="15"/>
      <c r="Y12" s="16"/>
      <c r="Z12" s="38"/>
      <c r="AA12" s="38"/>
      <c r="AB12" s="38"/>
      <c r="AC12" s="39"/>
      <c r="AD12" s="38"/>
      <c r="AE12" s="38"/>
      <c r="AF12" s="38"/>
      <c r="AG12" s="39"/>
      <c r="AH12" s="38"/>
      <c r="AI12" s="38"/>
      <c r="AJ12" s="40"/>
    </row>
    <row r="13" spans="1:36" x14ac:dyDescent="0.25">
      <c r="A13" s="23" t="s">
        <v>43</v>
      </c>
      <c r="B13" s="42">
        <v>2026</v>
      </c>
      <c r="C13" s="24" t="s">
        <v>14</v>
      </c>
      <c r="D13" s="25"/>
      <c r="E13" s="25"/>
      <c r="F13" s="25"/>
      <c r="G13" s="26"/>
      <c r="H13" s="25"/>
      <c r="I13" s="25"/>
      <c r="J13" s="25"/>
      <c r="K13" s="26"/>
      <c r="L13" s="25"/>
      <c r="M13" s="25"/>
      <c r="N13" s="26"/>
      <c r="O13" s="27"/>
      <c r="P13" s="27"/>
      <c r="Q13" s="27"/>
      <c r="R13" s="28"/>
      <c r="S13" s="27"/>
      <c r="T13" s="27"/>
      <c r="U13" s="27"/>
      <c r="V13" s="28"/>
      <c r="W13" s="27"/>
      <c r="X13" s="27"/>
      <c r="Y13" s="28"/>
      <c r="Z13" s="43"/>
      <c r="AA13" s="43"/>
      <c r="AB13" s="43"/>
      <c r="AC13" s="44"/>
      <c r="AD13" s="43"/>
      <c r="AE13" s="43"/>
      <c r="AF13" s="43"/>
      <c r="AG13" s="44"/>
      <c r="AH13" s="43"/>
      <c r="AI13" s="43"/>
      <c r="AJ13" s="4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05540-3019-40CF-96D1-F42AEC218843}">
  <sheetPr codeName="Sheet6"/>
  <dimension ref="A1:AJ13"/>
  <sheetViews>
    <sheetView zoomScaleNormal="100" workbookViewId="0">
      <selection activeCell="A8" sqref="A8"/>
    </sheetView>
  </sheetViews>
  <sheetFormatPr defaultRowHeight="15" x14ac:dyDescent="0.25"/>
  <cols>
    <col min="1" max="1" width="18.85546875" customWidth="1"/>
    <col min="2" max="2" width="7.140625" customWidth="1"/>
    <col min="4" max="4" width="22.140625" customWidth="1"/>
    <col min="5" max="5" width="22.5703125" customWidth="1"/>
    <col min="6" max="6" width="23.5703125" customWidth="1"/>
    <col min="7" max="7" width="25.42578125" customWidth="1"/>
    <col min="8" max="8" width="25.140625" customWidth="1"/>
    <col min="9" max="9" width="24.5703125" customWidth="1"/>
    <col min="10" max="10" width="26.42578125" customWidth="1"/>
    <col min="11" max="11" width="28.28515625" customWidth="1"/>
    <col min="12" max="12" width="23.85546875" customWidth="1"/>
    <col min="13" max="13" width="22" customWidth="1"/>
    <col min="14" max="14" width="23.140625" customWidth="1"/>
    <col min="15" max="15" width="22.85546875" customWidth="1"/>
    <col min="16" max="16" width="23.42578125" customWidth="1"/>
    <col min="17" max="17" width="24.42578125" customWidth="1"/>
    <col min="18" max="18" width="26.140625" customWidth="1"/>
    <col min="19" max="19" width="25.85546875" customWidth="1"/>
    <col min="20" max="20" width="25.42578125" customWidth="1"/>
    <col min="21" max="21" width="27.28515625" customWidth="1"/>
    <col min="22" max="22" width="29.140625" customWidth="1"/>
    <col min="23" max="23" width="24.7109375" customWidth="1"/>
    <col min="24" max="24" width="22.85546875" customWidth="1"/>
    <col min="25" max="25" width="23.85546875" customWidth="1"/>
    <col min="26" max="26" width="25.42578125" customWidth="1"/>
    <col min="27" max="27" width="25.85546875" customWidth="1"/>
    <col min="28" max="28" width="26.7109375" customWidth="1"/>
    <col min="29" max="29" width="28.5703125" customWidth="1"/>
    <col min="30" max="30" width="28.28515625" customWidth="1"/>
    <col min="31" max="31" width="27.85546875" customWidth="1"/>
    <col min="32" max="32" width="29.7109375" customWidth="1"/>
    <col min="33" max="33" width="31.5703125" customWidth="1"/>
    <col min="34" max="34" width="27.140625" customWidth="1"/>
    <col min="35" max="35" width="25.28515625" customWidth="1"/>
    <col min="36" max="36" width="26.42578125" customWidth="1"/>
  </cols>
  <sheetData>
    <row r="1" spans="1:36" s="1" customFormat="1" ht="30" x14ac:dyDescent="0.25">
      <c r="A1" s="2" t="s">
        <v>0</v>
      </c>
      <c r="B1" s="3" t="s">
        <v>1</v>
      </c>
      <c r="C1" s="3" t="s">
        <v>2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56</v>
      </c>
      <c r="J1" s="4" t="s">
        <v>21</v>
      </c>
      <c r="K1" s="4" t="s">
        <v>22</v>
      </c>
      <c r="L1" s="4" t="s">
        <v>89</v>
      </c>
      <c r="M1" s="4" t="s">
        <v>23</v>
      </c>
      <c r="N1" s="4" t="s">
        <v>24</v>
      </c>
      <c r="O1" s="5" t="s">
        <v>25</v>
      </c>
      <c r="P1" s="5" t="s">
        <v>26</v>
      </c>
      <c r="Q1" s="5" t="s">
        <v>27</v>
      </c>
      <c r="R1" s="5" t="s">
        <v>28</v>
      </c>
      <c r="S1" s="5" t="s">
        <v>29</v>
      </c>
      <c r="T1" s="5" t="s">
        <v>55</v>
      </c>
      <c r="U1" s="5" t="s">
        <v>30</v>
      </c>
      <c r="V1" s="5" t="s">
        <v>31</v>
      </c>
      <c r="W1" s="5" t="s">
        <v>90</v>
      </c>
      <c r="X1" s="5" t="s">
        <v>32</v>
      </c>
      <c r="Y1" s="5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7" t="s">
        <v>57</v>
      </c>
      <c r="AF1" s="7" t="s">
        <v>39</v>
      </c>
      <c r="AG1" s="7" t="s">
        <v>40</v>
      </c>
      <c r="AH1" s="7" t="s">
        <v>91</v>
      </c>
      <c r="AI1" s="7" t="s">
        <v>41</v>
      </c>
      <c r="AJ1" s="35" t="s">
        <v>42</v>
      </c>
    </row>
    <row r="2" spans="1:36" x14ac:dyDescent="0.25">
      <c r="A2" s="10" t="s">
        <v>61</v>
      </c>
      <c r="B2" s="11">
        <v>2026</v>
      </c>
      <c r="C2" s="12" t="s">
        <v>3</v>
      </c>
      <c r="D2" s="13">
        <v>2215.7500000000005</v>
      </c>
      <c r="E2" s="13">
        <v>4386.7</v>
      </c>
      <c r="F2" s="13">
        <f>Table136[[#This Row],[Monthly Revenue Actuals]]-Table136[[#This Row],[Monthly Revenue Budget]]</f>
        <v>2170.9499999999994</v>
      </c>
      <c r="G2" s="14">
        <f>(Table136[[#This Row],[Monthly Revenue Variance]]/Table136[[#This Row],[Monthly Revenue Budget]])*100</f>
        <v>97.978111249012699</v>
      </c>
      <c r="H2" s="13">
        <v>2215.7500000000005</v>
      </c>
      <c r="I2" s="13">
        <v>4386.7</v>
      </c>
      <c r="J2" s="13">
        <f>Table136[[#This Row],[Cumulative Revenue Actuals]]-Table136[[#This Row],[Cumulative Revenue Budget]]</f>
        <v>2170.9499999999994</v>
      </c>
      <c r="K2" s="14">
        <f>(Table136[[#This Row],[Cumulative Revenue Variance]]/Table136[[#This Row],[Cumulative Revenue Budget]])*100</f>
        <v>97.978111249012699</v>
      </c>
      <c r="L2" s="13">
        <v>62721</v>
      </c>
      <c r="M2" s="13">
        <f>Table136[[#This Row],[Revenue Total Budget 2026]]-Table136[[#This Row],[Cumulative Revenue Actuals]]</f>
        <v>58334.3</v>
      </c>
      <c r="N2" s="14">
        <f>(Table136[[#This Row],[Revenue To Be Achieved ]]/Table136[[#This Row],[Revenue Total Budget 2026]])*100</f>
        <v>93.006010746002147</v>
      </c>
      <c r="O2" s="15">
        <v>2843.88653486986</v>
      </c>
      <c r="P2" s="15">
        <v>1843</v>
      </c>
      <c r="Q2" s="15">
        <f>Table136[[#This Row],[Monthly Expenses Budget]]-Table136[[#This Row],[Monthly Expenses Actuals]]</f>
        <v>1000.88653486986</v>
      </c>
      <c r="R2" s="16">
        <f>(Table136[[#This Row],[Monthly Expenses Variance]]/Table136[[#This Row],[Monthly Expenses Budget]])*100</f>
        <v>35.194320258479017</v>
      </c>
      <c r="S2" s="15">
        <v>2843.88653486986</v>
      </c>
      <c r="T2" s="15">
        <v>1843</v>
      </c>
      <c r="U2" s="15">
        <f>Table136[[#This Row],[Cumulative Expenses Budget]]-Table136[[#This Row],[Cumulative Expenses Actuals]]</f>
        <v>1000.88653486986</v>
      </c>
      <c r="V2" s="16">
        <f>(Table136[[#This Row],[Cumulative Expenses Variance]]/Table136[[#This Row],[Cumulative Expenses Budget]])*100</f>
        <v>35.194320258479017</v>
      </c>
      <c r="W2" s="15">
        <v>37202</v>
      </c>
      <c r="X2" s="15">
        <f>Table136[[#This Row],[Expenses Total Budget 2026]]-Table136[[#This Row],[Cumulative Expenses Actuals]]</f>
        <v>35359</v>
      </c>
      <c r="Y2" s="16">
        <f>(Table136[[#This Row],[Expenses To Be Achieved ]]/Table136[[#This Row],[Expenses Total Budget 2026]])*100</f>
        <v>95.045965270684377</v>
      </c>
      <c r="Z2" s="38">
        <v>-628.13653486986232</v>
      </c>
      <c r="AA2" s="38">
        <v>2543.4872999999998</v>
      </c>
      <c r="AB2" s="38">
        <f>Table136[[#This Row],[Monthly Contribution Actuals]]-Table136[[#This Row],[Monthly Contribution Budget]]</f>
        <v>3171.6238348698621</v>
      </c>
      <c r="AC2" s="39">
        <f>-(Table136[[#This Row],[Monthly Contribution Variance]]/Table136[[#This Row],[Monthly Contribution Budget]])*100</f>
        <v>504.92586544531451</v>
      </c>
      <c r="AD2" s="38">
        <v>-628.13653486986232</v>
      </c>
      <c r="AE2" s="38">
        <v>2543.4872999999998</v>
      </c>
      <c r="AF2" s="38">
        <f>Table136[[#This Row],[Cumulative Contribution Actuals]]-Table136[[#This Row],[Cumulative Contribution Budget]]</f>
        <v>3171.6238348698621</v>
      </c>
      <c r="AG2" s="39">
        <f>-(Table136[[#This Row],[Cumulative Contribution Variance]]/Table136[[#This Row],[Cumulative Contribution Budget]])*100</f>
        <v>504.92586544531451</v>
      </c>
      <c r="AH2" s="38">
        <v>25519</v>
      </c>
      <c r="AI2" s="38">
        <f>Table136[[#This Row],[Contribution Total Budget 2026]]-Table136[[#This Row],[Cumulative Contribution Actuals]]</f>
        <v>22975.512699999999</v>
      </c>
      <c r="AJ2" s="40">
        <f>(Table136[[#This Row],[Contribution To Be Achieved ]]/Table136[[#This Row],[Contribution Total Budget 2026]])*100</f>
        <v>90.032966417179352</v>
      </c>
    </row>
    <row r="3" spans="1:36" x14ac:dyDescent="0.25">
      <c r="A3" s="10" t="s">
        <v>61</v>
      </c>
      <c r="B3" s="11">
        <v>2026</v>
      </c>
      <c r="C3" s="22" t="s">
        <v>4</v>
      </c>
      <c r="D3" s="13">
        <v>2414.2500000000005</v>
      </c>
      <c r="E3" s="13">
        <v>2598.3166699999992</v>
      </c>
      <c r="F3" s="13">
        <f>Table136[[#This Row],[Monthly Revenue Actuals]]-Table136[[#This Row],[Monthly Revenue Budget]]</f>
        <v>184.06666999999879</v>
      </c>
      <c r="G3" s="14">
        <f>(Table136[[#This Row],[Monthly Revenue Variance]]/Table136[[#This Row],[Monthly Revenue Budget]])*100</f>
        <v>7.6241760381070209</v>
      </c>
      <c r="H3" s="13">
        <v>4630.0000000000009</v>
      </c>
      <c r="I3" s="13">
        <v>6985.0166699999991</v>
      </c>
      <c r="J3" s="13">
        <f>Table136[[#This Row],[Cumulative Revenue Actuals]]-Table136[[#This Row],[Cumulative Revenue Budget]]</f>
        <v>2355.0166699999982</v>
      </c>
      <c r="K3" s="14">
        <f>(Table136[[#This Row],[Cumulative Revenue Variance]]/Table136[[#This Row],[Cumulative Revenue Budget]])*100</f>
        <v>50.864290928725651</v>
      </c>
      <c r="L3" s="13">
        <v>62721</v>
      </c>
      <c r="M3" s="13">
        <f>Table136[[#This Row],[Revenue Total Budget 2026]]-Table136[[#This Row],[Cumulative Revenue Actuals]]</f>
        <v>55735.983330000003</v>
      </c>
      <c r="N3" s="14">
        <f>(Table136[[#This Row],[Revenue To Be Achieved ]]/Table136[[#This Row],[Revenue Total Budget 2026]])*100</f>
        <v>88.863352513512226</v>
      </c>
      <c r="O3" s="15">
        <v>2844.11346513014</v>
      </c>
      <c r="P3" s="15">
        <v>2824</v>
      </c>
      <c r="Q3" s="15">
        <f>Table136[[#This Row],[Monthly Expenses Budget]]-Table136[[#This Row],[Monthly Expenses Actuals]]</f>
        <v>20.113465130139957</v>
      </c>
      <c r="R3" s="16">
        <f>(Table136[[#This Row],[Monthly Expenses Variance]]/Table136[[#This Row],[Monthly Expenses Budget]])*100</f>
        <v>0.7071962977827122</v>
      </c>
      <c r="S3" s="15">
        <v>5688</v>
      </c>
      <c r="T3" s="15">
        <v>4667</v>
      </c>
      <c r="U3" s="15">
        <f>Table136[[#This Row],[Cumulative Expenses Budget]]-Table136[[#This Row],[Cumulative Expenses Actuals]]</f>
        <v>1021</v>
      </c>
      <c r="V3" s="16">
        <f>(Table136[[#This Row],[Cumulative Expenses Variance]]/Table136[[#This Row],[Cumulative Expenses Budget]])*100</f>
        <v>17.950070323488045</v>
      </c>
      <c r="W3" s="15">
        <v>37202</v>
      </c>
      <c r="X3" s="15">
        <f>Table136[[#This Row],[Expenses Total Budget 2026]]-Table136[[#This Row],[Cumulative Expenses Actuals]]</f>
        <v>32535</v>
      </c>
      <c r="Y3" s="16">
        <f>(Table136[[#This Row],[Expenses To Be Achieved ]]/Table136[[#This Row],[Expenses Total Budget 2026]])*100</f>
        <v>87.454975538949526</v>
      </c>
      <c r="Z3" s="38">
        <v>-429.86346513013768</v>
      </c>
      <c r="AA3" s="38">
        <v>-225.48729999999978</v>
      </c>
      <c r="AB3" s="38">
        <f>Table136[[#This Row],[Monthly Contribution Actuals]]-Table136[[#This Row],[Monthly Contribution Budget]]</f>
        <v>204.37616513013791</v>
      </c>
      <c r="AC3" s="39">
        <f>-(Table136[[#This Row],[Monthly Contribution Variance]]/Table136[[#This Row],[Monthly Contribution Budget]])*100</f>
        <v>47.544437178038542</v>
      </c>
      <c r="AD3" s="38">
        <v>-1058</v>
      </c>
      <c r="AE3" s="38">
        <v>2318</v>
      </c>
      <c r="AF3" s="38">
        <f>Table136[[#This Row],[Cumulative Contribution Actuals]]-Table136[[#This Row],[Cumulative Contribution Budget]]</f>
        <v>3376</v>
      </c>
      <c r="AG3" s="39">
        <f>-(Table136[[#This Row],[Cumulative Contribution Variance]]/Table136[[#This Row],[Cumulative Contribution Budget]])*100</f>
        <v>319.09262759924383</v>
      </c>
      <c r="AH3" s="38">
        <v>25519</v>
      </c>
      <c r="AI3" s="38">
        <f>Table136[[#This Row],[Contribution Total Budget 2026]]-Table136[[#This Row],[Cumulative Contribution Actuals]]</f>
        <v>23201</v>
      </c>
      <c r="AJ3" s="40">
        <f>(Table136[[#This Row],[Contribution To Be Achieved ]]/Table136[[#This Row],[Contribution Total Budget 2026]])*100</f>
        <v>90.916571965986122</v>
      </c>
    </row>
    <row r="4" spans="1:36" x14ac:dyDescent="0.25">
      <c r="A4" s="10" t="s">
        <v>61</v>
      </c>
      <c r="B4" s="11">
        <v>2026</v>
      </c>
      <c r="C4" s="11" t="s">
        <v>5</v>
      </c>
      <c r="D4" s="13">
        <v>5476.9999999999991</v>
      </c>
      <c r="E4" s="13">
        <v>3535.9833300000009</v>
      </c>
      <c r="F4" s="13">
        <f>Table136[[#This Row],[Monthly Revenue Actuals]]-Table136[[#This Row],[Monthly Revenue Budget]]</f>
        <v>-1941.0166699999982</v>
      </c>
      <c r="G4" s="14">
        <f>(Table136[[#This Row],[Monthly Revenue Variance]]/Table136[[#This Row],[Monthly Revenue Budget]])*100</f>
        <v>-35.439413364980801</v>
      </c>
      <c r="H4" s="13">
        <v>10107</v>
      </c>
      <c r="I4" s="13">
        <v>10521</v>
      </c>
      <c r="J4" s="13">
        <f>Table136[[#This Row],[Cumulative Revenue Actuals]]-Table136[[#This Row],[Cumulative Revenue Budget]]</f>
        <v>414</v>
      </c>
      <c r="K4" s="14">
        <f>(Table136[[#This Row],[Cumulative Revenue Variance]]/Table136[[#This Row],[Cumulative Revenue Budget]])*100</f>
        <v>4.0961709706144251</v>
      </c>
      <c r="L4" s="13">
        <v>62721</v>
      </c>
      <c r="M4" s="13">
        <f>Table136[[#This Row],[Revenue Total Budget 2026]]-Table136[[#This Row],[Cumulative Revenue Actuals]]</f>
        <v>52200</v>
      </c>
      <c r="N4" s="14">
        <f>(Table136[[#This Row],[Revenue To Be Achieved ]]/Table136[[#This Row],[Revenue Total Budget 2026]])*100</f>
        <v>83.225713875735394</v>
      </c>
      <c r="O4" s="15">
        <v>2844</v>
      </c>
      <c r="P4" s="15">
        <v>2391</v>
      </c>
      <c r="Q4" s="15">
        <f>Table136[[#This Row],[Monthly Expenses Budget]]-Table136[[#This Row],[Monthly Expenses Actuals]]</f>
        <v>453</v>
      </c>
      <c r="R4" s="16">
        <f>(Table136[[#This Row],[Monthly Expenses Variance]]/Table136[[#This Row],[Monthly Expenses Budget]])*100</f>
        <v>15.928270042194093</v>
      </c>
      <c r="S4" s="15">
        <v>8532</v>
      </c>
      <c r="T4" s="15">
        <v>7058</v>
      </c>
      <c r="U4" s="15">
        <f>Table136[[#This Row],[Cumulative Expenses Budget]]-Table136[[#This Row],[Cumulative Expenses Actuals]]</f>
        <v>1474</v>
      </c>
      <c r="V4" s="16">
        <f>(Table136[[#This Row],[Cumulative Expenses Variance]]/Table136[[#This Row],[Cumulative Expenses Budget]])*100</f>
        <v>17.27613689639006</v>
      </c>
      <c r="W4" s="15">
        <v>37202</v>
      </c>
      <c r="X4" s="15">
        <f>Table136[[#This Row],[Expenses Total Budget 2026]]-Table136[[#This Row],[Cumulative Expenses Actuals]]</f>
        <v>30144</v>
      </c>
      <c r="Y4" s="16">
        <f>(Table136[[#This Row],[Expenses To Be Achieved ]]/Table136[[#This Row],[Expenses Total Budget 2026]])*100</f>
        <v>81.027901725713676</v>
      </c>
      <c r="Z4" s="38">
        <v>2634</v>
      </c>
      <c r="AA4" s="38">
        <v>1145</v>
      </c>
      <c r="AB4" s="38">
        <f>Table136[[#This Row],[Monthly Contribution Actuals]]-Table136[[#This Row],[Monthly Contribution Budget]]</f>
        <v>-1489</v>
      </c>
      <c r="AC4" s="39">
        <f>(Table136[[#This Row],[Monthly Contribution Variance]]/Table136[[#This Row],[Monthly Contribution Budget]])*100</f>
        <v>-56.529992406985571</v>
      </c>
      <c r="AD4" s="38">
        <v>1576</v>
      </c>
      <c r="AE4" s="38">
        <v>3463</v>
      </c>
      <c r="AF4" s="38">
        <f>Table136[[#This Row],[Cumulative Contribution Actuals]]-Table136[[#This Row],[Cumulative Contribution Budget]]</f>
        <v>1887</v>
      </c>
      <c r="AG4" s="39">
        <f>(Table136[[#This Row],[Cumulative Contribution Variance]]/Table136[[#This Row],[Cumulative Contribution Budget]])*100</f>
        <v>119.73350253807106</v>
      </c>
      <c r="AH4" s="38">
        <v>25519</v>
      </c>
      <c r="AI4" s="38">
        <f>Table136[[#This Row],[Contribution Total Budget 2026]]-Table136[[#This Row],[Cumulative Contribution Actuals]]</f>
        <v>22056</v>
      </c>
      <c r="AJ4" s="40">
        <f>(Table136[[#This Row],[Contribution To Be Achieved ]]/Table136[[#This Row],[Contribution Total Budget 2026]])*100</f>
        <v>86.429719032877458</v>
      </c>
    </row>
    <row r="5" spans="1:36" x14ac:dyDescent="0.25">
      <c r="A5" s="10" t="s">
        <v>61</v>
      </c>
      <c r="B5" s="11">
        <v>2026</v>
      </c>
      <c r="C5" s="22" t="s">
        <v>6</v>
      </c>
      <c r="D5" s="13">
        <v>5945</v>
      </c>
      <c r="E5" s="13">
        <v>2593</v>
      </c>
      <c r="F5" s="13">
        <f>Table136[[#This Row],[Monthly Revenue Actuals]]-Table136[[#This Row],[Monthly Revenue Budget]]</f>
        <v>-3352</v>
      </c>
      <c r="G5" s="14">
        <f>(Table136[[#This Row],[Monthly Revenue Variance]]/Table136[[#This Row],[Monthly Revenue Budget]])*100</f>
        <v>-56.383515559293528</v>
      </c>
      <c r="H5" s="13">
        <v>16052</v>
      </c>
      <c r="I5" s="13">
        <v>13114</v>
      </c>
      <c r="J5" s="13">
        <f>Table136[[#This Row],[Cumulative Revenue Actuals]]-Table136[[#This Row],[Cumulative Revenue Budget]]</f>
        <v>-2938</v>
      </c>
      <c r="K5" s="14">
        <f>(Table136[[#This Row],[Cumulative Revenue Variance]]/Table136[[#This Row],[Cumulative Revenue Budget]])*100</f>
        <v>-18.303015200598054</v>
      </c>
      <c r="L5" s="13">
        <v>62721</v>
      </c>
      <c r="M5" s="13">
        <f>Table136[[#This Row],[Revenue Total Budget 2026]]-Table136[[#This Row],[Cumulative Revenue Actuals]]</f>
        <v>49607</v>
      </c>
      <c r="N5" s="14">
        <f>(Table136[[#This Row],[Revenue To Be Achieved ]]/Table136[[#This Row],[Revenue Total Budget 2026]])*100</f>
        <v>79.091532341639962</v>
      </c>
      <c r="O5" s="15">
        <v>3869</v>
      </c>
      <c r="P5" s="15">
        <v>2177</v>
      </c>
      <c r="Q5" s="15">
        <f>Table136[[#This Row],[Monthly Expenses Budget]]-Table136[[#This Row],[Monthly Expenses Actuals]]</f>
        <v>1692</v>
      </c>
      <c r="R5" s="16">
        <f>(Table136[[#This Row],[Monthly Expenses Variance]]/Table136[[#This Row],[Monthly Expenses Budget]])*100</f>
        <v>43.732230550529856</v>
      </c>
      <c r="S5" s="15">
        <v>12401</v>
      </c>
      <c r="T5" s="15">
        <v>9235</v>
      </c>
      <c r="U5" s="15">
        <f>Table136[[#This Row],[Cumulative Expenses Budget]]-Table136[[#This Row],[Cumulative Expenses Actuals]]</f>
        <v>3166</v>
      </c>
      <c r="V5" s="16">
        <f>(Table136[[#This Row],[Cumulative Expenses Variance]]/Table136[[#This Row],[Cumulative Expenses Budget]])*100</f>
        <v>25.530199177485684</v>
      </c>
      <c r="W5" s="15">
        <v>37202</v>
      </c>
      <c r="X5" s="15">
        <f>Table136[[#This Row],[Expenses Total Budget 2026]]-Table136[[#This Row],[Cumulative Expenses Actuals]]</f>
        <v>27967</v>
      </c>
      <c r="Y5" s="16">
        <f>(Table136[[#This Row],[Expenses To Be Achieved ]]/Table136[[#This Row],[Expenses Total Budget 2026]])*100</f>
        <v>75.176065802913826</v>
      </c>
      <c r="Z5" s="38">
        <v>2075</v>
      </c>
      <c r="AA5" s="38">
        <v>416</v>
      </c>
      <c r="AB5" s="38">
        <f>Table136[[#This Row],[Monthly Contribution Actuals]]-Table136[[#This Row],[Monthly Contribution Budget]]</f>
        <v>-1659</v>
      </c>
      <c r="AC5" s="39">
        <f>(Table136[[#This Row],[Monthly Contribution Variance]]/Table136[[#This Row],[Monthly Contribution Budget]])*100</f>
        <v>-79.951807228915655</v>
      </c>
      <c r="AD5" s="38">
        <v>3651</v>
      </c>
      <c r="AE5" s="38">
        <v>3879</v>
      </c>
      <c r="AF5" s="38">
        <f>Table136[[#This Row],[Cumulative Contribution Actuals]]-Table136[[#This Row],[Cumulative Contribution Budget]]</f>
        <v>228</v>
      </c>
      <c r="AG5" s="39">
        <f>(Table136[[#This Row],[Cumulative Contribution Variance]]/Table136[[#This Row],[Cumulative Contribution Budget]])*100</f>
        <v>6.2448644207066559</v>
      </c>
      <c r="AH5" s="38">
        <v>25519</v>
      </c>
      <c r="AI5" s="38">
        <f>Table136[[#This Row],[Contribution Total Budget 2026]]-Table136[[#This Row],[Cumulative Contribution Actuals]]</f>
        <v>21640</v>
      </c>
      <c r="AJ5" s="40">
        <f>(Table136[[#This Row],[Contribution To Be Achieved ]]/Table136[[#This Row],[Contribution Total Budget 2026]])*100</f>
        <v>84.799561111328813</v>
      </c>
    </row>
    <row r="6" spans="1:36" x14ac:dyDescent="0.25">
      <c r="A6" s="10" t="s">
        <v>61</v>
      </c>
      <c r="B6" s="11">
        <v>2026</v>
      </c>
      <c r="C6" s="11" t="s">
        <v>7</v>
      </c>
      <c r="D6" s="13">
        <v>8773</v>
      </c>
      <c r="E6" s="13">
        <v>4236</v>
      </c>
      <c r="F6" s="13">
        <f>Table136[[#This Row],[Monthly Revenue Actuals]]-Table136[[#This Row],[Monthly Revenue Budget]]</f>
        <v>-4537</v>
      </c>
      <c r="G6" s="14">
        <f>(Table136[[#This Row],[Monthly Revenue Variance]]/Table136[[#This Row],[Monthly Revenue Budget]])*100</f>
        <v>-51.715490710133359</v>
      </c>
      <c r="H6" s="13">
        <v>24825</v>
      </c>
      <c r="I6" s="13">
        <v>17350</v>
      </c>
      <c r="J6" s="13">
        <f>Table136[[#This Row],[Cumulative Revenue Actuals]]-Table136[[#This Row],[Cumulative Revenue Budget]]</f>
        <v>-7475</v>
      </c>
      <c r="K6" s="14">
        <f>(Table136[[#This Row],[Cumulative Revenue Variance]]/Table136[[#This Row],[Cumulative Revenue Budget]])*100</f>
        <v>-30.110775427995971</v>
      </c>
      <c r="L6" s="13">
        <v>62721</v>
      </c>
      <c r="M6" s="13">
        <f>Table136[[#This Row],[Revenue Total Budget 2026]]-Table136[[#This Row],[Cumulative Revenue Actuals]]</f>
        <v>45371</v>
      </c>
      <c r="N6" s="14">
        <f>(Table136[[#This Row],[Revenue To Be Achieved ]]/Table136[[#This Row],[Revenue Total Budget 2026]])*100</f>
        <v>72.337813491494074</v>
      </c>
      <c r="O6" s="15">
        <v>3100</v>
      </c>
      <c r="P6" s="15">
        <v>2872</v>
      </c>
      <c r="Q6" s="15">
        <f>Table136[[#This Row],[Monthly Expenses Budget]]-Table136[[#This Row],[Monthly Expenses Actuals]]</f>
        <v>228</v>
      </c>
      <c r="R6" s="16">
        <f>(Table136[[#This Row],[Monthly Expenses Variance]]/Table136[[#This Row],[Monthly Expenses Budget]])*100</f>
        <v>7.354838709677419</v>
      </c>
      <c r="S6" s="15">
        <v>15501</v>
      </c>
      <c r="T6" s="15">
        <v>12107</v>
      </c>
      <c r="U6" s="15">
        <f>Table136[[#This Row],[Cumulative Expenses Budget]]-Table136[[#This Row],[Cumulative Expenses Actuals]]</f>
        <v>3394</v>
      </c>
      <c r="V6" s="16">
        <f>(Table136[[#This Row],[Cumulative Expenses Variance]]/Table136[[#This Row],[Cumulative Expenses Budget]])*100</f>
        <v>21.895361589574865</v>
      </c>
      <c r="W6" s="15">
        <v>37202</v>
      </c>
      <c r="X6" s="15">
        <f>Table136[[#This Row],[Expenses Total Budget 2026]]-Table136[[#This Row],[Cumulative Expenses Actuals]]</f>
        <v>25095</v>
      </c>
      <c r="Y6" s="16">
        <f>(Table136[[#This Row],[Expenses To Be Achieved ]]/Table136[[#This Row],[Expenses Total Budget 2026]])*100</f>
        <v>67.456050749959687</v>
      </c>
      <c r="Z6" s="38">
        <v>5673</v>
      </c>
      <c r="AA6" s="38">
        <v>1365</v>
      </c>
      <c r="AB6" s="38">
        <f>Table136[[#This Row],[Monthly Contribution Actuals]]-Table136[[#This Row],[Monthly Contribution Budget]]</f>
        <v>-4308</v>
      </c>
      <c r="AC6" s="39">
        <f>(Table136[[#This Row],[Monthly Contribution Variance]]/Table136[[#This Row],[Monthly Contribution Budget]])*100</f>
        <v>-75.938656795346375</v>
      </c>
      <c r="AD6" s="38">
        <v>9324</v>
      </c>
      <c r="AE6" s="38">
        <v>5244</v>
      </c>
      <c r="AF6" s="38">
        <f>Table136[[#This Row],[Cumulative Contribution Actuals]]-Table136[[#This Row],[Cumulative Contribution Budget]]</f>
        <v>-4080</v>
      </c>
      <c r="AG6" s="39">
        <f>(Table136[[#This Row],[Cumulative Contribution Variance]]/Table136[[#This Row],[Cumulative Contribution Budget]])*100</f>
        <v>-43.758043758043755</v>
      </c>
      <c r="AH6" s="38">
        <v>25519</v>
      </c>
      <c r="AI6" s="38">
        <f>Table136[[#This Row],[Contribution Total Budget 2026]]-Table136[[#This Row],[Cumulative Contribution Actuals]]</f>
        <v>20275</v>
      </c>
      <c r="AJ6" s="40">
        <f>(Table136[[#This Row],[Contribution To Be Achieved ]]/Table136[[#This Row],[Contribution Total Budget 2026]])*100</f>
        <v>79.450605431247297</v>
      </c>
    </row>
    <row r="7" spans="1:36" x14ac:dyDescent="0.25">
      <c r="A7" s="10" t="s">
        <v>61</v>
      </c>
      <c r="B7" s="11">
        <v>2026</v>
      </c>
      <c r="C7" s="22" t="s">
        <v>8</v>
      </c>
      <c r="D7" s="13">
        <v>5065</v>
      </c>
      <c r="E7" s="13">
        <v>6282</v>
      </c>
      <c r="F7" s="13">
        <f>Table136[[#This Row],[Monthly Revenue Actuals]]-Table136[[#This Row],[Monthly Revenue Budget]]</f>
        <v>1217</v>
      </c>
      <c r="G7" s="14">
        <f>(Table136[[#This Row],[Monthly Revenue Variance]]/Table136[[#This Row],[Monthly Revenue Budget]])*100</f>
        <v>24.027640671273446</v>
      </c>
      <c r="H7" s="13">
        <v>29890</v>
      </c>
      <c r="I7" s="13">
        <v>23632</v>
      </c>
      <c r="J7" s="13">
        <f>Table136[[#This Row],[Cumulative Revenue Actuals]]-Table136[[#This Row],[Cumulative Revenue Budget]]</f>
        <v>-6258</v>
      </c>
      <c r="K7" s="14">
        <f>(Table136[[#This Row],[Cumulative Revenue Variance]]/Table136[[#This Row],[Cumulative Revenue Budget]])*100</f>
        <v>-20.936768149882905</v>
      </c>
      <c r="L7" s="13">
        <v>62721</v>
      </c>
      <c r="M7" s="13">
        <f>Table136[[#This Row],[Revenue Total Budget 2026]]-Table136[[#This Row],[Cumulative Revenue Actuals]]</f>
        <v>39089</v>
      </c>
      <c r="N7" s="14">
        <f>(Table136[[#This Row],[Revenue To Be Achieved ]]/Table136[[#This Row],[Revenue Total Budget 2026]])*100</f>
        <v>62.322029304379711</v>
      </c>
      <c r="O7" s="15">
        <v>3100</v>
      </c>
      <c r="P7" s="15">
        <v>2468</v>
      </c>
      <c r="Q7" s="15">
        <f>Table136[[#This Row],[Monthly Expenses Budget]]-Table136[[#This Row],[Monthly Expenses Actuals]]</f>
        <v>632</v>
      </c>
      <c r="R7" s="16">
        <f>(Table136[[#This Row],[Monthly Expenses Variance]]/Table136[[#This Row],[Monthly Expenses Budget]])*100</f>
        <v>20.387096774193548</v>
      </c>
      <c r="S7" s="15">
        <v>18601</v>
      </c>
      <c r="T7" s="15">
        <v>14575</v>
      </c>
      <c r="U7" s="15">
        <f>Table136[[#This Row],[Cumulative Expenses Budget]]-Table136[[#This Row],[Cumulative Expenses Actuals]]</f>
        <v>4026</v>
      </c>
      <c r="V7" s="16">
        <f>(Table136[[#This Row],[Cumulative Expenses Variance]]/Table136[[#This Row],[Cumulative Expenses Budget]])*100</f>
        <v>21.643997634535779</v>
      </c>
      <c r="W7" s="15">
        <v>37202</v>
      </c>
      <c r="X7" s="15">
        <f>Table136[[#This Row],[Expenses Total Budget 2026]]-Table136[[#This Row],[Cumulative Expenses Actuals]]</f>
        <v>22627</v>
      </c>
      <c r="Y7" s="16">
        <f>(Table136[[#This Row],[Expenses To Be Achieved ]]/Table136[[#This Row],[Expenses Total Budget 2026]])*100</f>
        <v>60.821998817267882</v>
      </c>
      <c r="Z7" s="38">
        <v>1965</v>
      </c>
      <c r="AA7" s="38">
        <v>3813</v>
      </c>
      <c r="AB7" s="38">
        <f>Table136[[#This Row],[Monthly Contribution Actuals]]-Table136[[#This Row],[Monthly Contribution Budget]]</f>
        <v>1848</v>
      </c>
      <c r="AC7" s="39">
        <f>(Table136[[#This Row],[Monthly Contribution Variance]]/Table136[[#This Row],[Monthly Contribution Budget]])*100</f>
        <v>94.045801526717554</v>
      </c>
      <c r="AD7" s="38">
        <v>11289</v>
      </c>
      <c r="AE7" s="38">
        <v>9057</v>
      </c>
      <c r="AF7" s="38">
        <f>Table136[[#This Row],[Cumulative Contribution Actuals]]-Table136[[#This Row],[Cumulative Contribution Budget]]</f>
        <v>-2232</v>
      </c>
      <c r="AG7" s="39">
        <f>(Table136[[#This Row],[Cumulative Contribution Variance]]/Table136[[#This Row],[Cumulative Contribution Budget]])*100</f>
        <v>-19.771458942333243</v>
      </c>
      <c r="AH7" s="38">
        <v>25519</v>
      </c>
      <c r="AI7" s="38">
        <f>Table136[[#This Row],[Contribution Total Budget 2026]]-Table136[[#This Row],[Cumulative Contribution Actuals]]</f>
        <v>16462</v>
      </c>
      <c r="AJ7" s="40">
        <f>(Table136[[#This Row],[Contribution To Be Achieved ]]/Table136[[#This Row],[Contribution Total Budget 2026]])*100</f>
        <v>64.508797366667963</v>
      </c>
    </row>
    <row r="8" spans="1:36" x14ac:dyDescent="0.25">
      <c r="A8" s="10" t="s">
        <v>61</v>
      </c>
      <c r="B8" s="11">
        <v>2026</v>
      </c>
      <c r="C8" s="11" t="s">
        <v>9</v>
      </c>
      <c r="D8" s="13">
        <f>Table136[[#This Row],[Cumulative Revenue Budget]]-H7</f>
        <v>6964</v>
      </c>
      <c r="E8" s="13">
        <f>Table136[[#This Row],[Cumulative Revenue Actuals]]-I7</f>
        <v>10514</v>
      </c>
      <c r="F8" s="13">
        <f>Table136[[#This Row],[Monthly Revenue Actuals]]-Table136[[#This Row],[Monthly Revenue Budget]]</f>
        <v>3550</v>
      </c>
      <c r="G8" s="14">
        <f>(Table136[[#This Row],[Monthly Revenue Variance]]/Table136[[#This Row],[Monthly Revenue Budget]])*100</f>
        <v>50.976450315910391</v>
      </c>
      <c r="H8" s="13">
        <v>36854</v>
      </c>
      <c r="I8" s="13">
        <v>34146</v>
      </c>
      <c r="J8" s="13">
        <f>Table136[[#This Row],[Cumulative Revenue Actuals]]-Table136[[#This Row],[Cumulative Revenue Budget]]</f>
        <v>-2708</v>
      </c>
      <c r="K8" s="14">
        <f>(Table136[[#This Row],[Cumulative Revenue Variance]]/Table136[[#This Row],[Cumulative Revenue Budget]])*100</f>
        <v>-7.3479133879633149</v>
      </c>
      <c r="L8" s="13">
        <v>62721</v>
      </c>
      <c r="M8" s="13">
        <f>Table136[[#This Row],[Revenue Total Budget 2026]]-Table136[[#This Row],[Cumulative Revenue Actuals]]</f>
        <v>28575</v>
      </c>
      <c r="N8" s="14">
        <f>(Table136[[#This Row],[Revenue To Be Achieved ]]/Table136[[#This Row],[Revenue Total Budget 2026]])*100</f>
        <v>45.558903716458602</v>
      </c>
      <c r="O8" s="15">
        <f>Table136[[#This Row],[Cumulative Expenses Budget]]-S7</f>
        <v>3100</v>
      </c>
      <c r="P8" s="15">
        <f>Table136[[#This Row],[Cumulative Expenses Actuals]]-T7</f>
        <v>3506</v>
      </c>
      <c r="Q8" s="15">
        <f>Table136[[#This Row],[Monthly Expenses Budget]]-Table136[[#This Row],[Monthly Expenses Actuals]]</f>
        <v>-406</v>
      </c>
      <c r="R8" s="16">
        <f>(Table136[[#This Row],[Monthly Expenses Variance]]/Table136[[#This Row],[Monthly Expenses Budget]])*100</f>
        <v>-13.096774193548388</v>
      </c>
      <c r="S8" s="15">
        <v>21701</v>
      </c>
      <c r="T8" s="15">
        <v>18081</v>
      </c>
      <c r="U8" s="15">
        <f>Table136[[#This Row],[Cumulative Expenses Budget]]-Table136[[#This Row],[Cumulative Expenses Actuals]]</f>
        <v>3620</v>
      </c>
      <c r="V8" s="16">
        <f>(Table136[[#This Row],[Cumulative Expenses Variance]]/Table136[[#This Row],[Cumulative Expenses Budget]])*100</f>
        <v>16.681258928159991</v>
      </c>
      <c r="W8" s="15">
        <v>37202</v>
      </c>
      <c r="X8" s="15">
        <f>Table136[[#This Row],[Expenses Total Budget 2026]]-Table136[[#This Row],[Cumulative Expenses Actuals]]</f>
        <v>19121</v>
      </c>
      <c r="Y8" s="16">
        <f>(Table136[[#This Row],[Expenses To Be Achieved ]]/Table136[[#This Row],[Expenses Total Budget 2026]])*100</f>
        <v>51.397774313208963</v>
      </c>
      <c r="Z8" s="38">
        <f>Table136[[#This Row],[Cumulative Contribution Budget]]-AD7</f>
        <v>3864</v>
      </c>
      <c r="AA8" s="38">
        <f>Table136[[#This Row],[Cumulative Contribution Actuals]]-AE7</f>
        <v>7008</v>
      </c>
      <c r="AB8" s="38">
        <f>Table136[[#This Row],[Monthly Contribution Actuals]]-Table136[[#This Row],[Monthly Contribution Budget]]</f>
        <v>3144</v>
      </c>
      <c r="AC8" s="39">
        <f>(Table136[[#This Row],[Monthly Contribution Variance]]/Table136[[#This Row],[Monthly Contribution Budget]])*100</f>
        <v>81.366459627329192</v>
      </c>
      <c r="AD8" s="38">
        <v>15153</v>
      </c>
      <c r="AE8" s="38">
        <v>16065</v>
      </c>
      <c r="AF8" s="38">
        <f>Table136[[#This Row],[Cumulative Contribution Actuals]]-Table136[[#This Row],[Cumulative Contribution Budget]]</f>
        <v>912</v>
      </c>
      <c r="AG8" s="39">
        <f>(Table136[[#This Row],[Cumulative Contribution Variance]]/Table136[[#This Row],[Cumulative Contribution Budget]])*100</f>
        <v>6.0186101762027322</v>
      </c>
      <c r="AH8" s="38">
        <v>25519</v>
      </c>
      <c r="AI8" s="38">
        <f>Table136[[#This Row],[Contribution Total Budget 2026]]-Table136[[#This Row],[Cumulative Contribution Actuals]]</f>
        <v>9454</v>
      </c>
      <c r="AJ8" s="40">
        <f>(Table136[[#This Row],[Contribution To Be Achieved ]]/Table136[[#This Row],[Contribution Total Budget 2026]])*100</f>
        <v>37.046906226733022</v>
      </c>
    </row>
    <row r="9" spans="1:36" x14ac:dyDescent="0.25">
      <c r="A9" s="10" t="s">
        <v>61</v>
      </c>
      <c r="B9" s="11">
        <v>2026</v>
      </c>
      <c r="C9" s="22" t="s">
        <v>10</v>
      </c>
      <c r="D9" s="13">
        <f>Table136[[#This Row],[Cumulative Revenue Budget]]-H8</f>
        <v>4461</v>
      </c>
      <c r="E9" s="13">
        <f>Table136[[#This Row],[Cumulative Revenue Actuals]]-I8</f>
        <v>3949</v>
      </c>
      <c r="F9" s="13">
        <f>Table136[[#This Row],[Monthly Revenue Actuals]]-Table136[[#This Row],[Monthly Revenue Budget]]</f>
        <v>-512</v>
      </c>
      <c r="G9" s="14">
        <f>(Table136[[#This Row],[Monthly Revenue Variance]]/Table136[[#This Row],[Monthly Revenue Budget]])*100</f>
        <v>-11.477247253978929</v>
      </c>
      <c r="H9" s="13">
        <v>41315</v>
      </c>
      <c r="I9" s="13">
        <v>38095</v>
      </c>
      <c r="J9" s="13">
        <f>Table136[[#This Row],[Cumulative Revenue Actuals]]-Table136[[#This Row],[Cumulative Revenue Budget]]</f>
        <v>-3220</v>
      </c>
      <c r="K9" s="14">
        <f>(Table136[[#This Row],[Cumulative Revenue Variance]]/Table136[[#This Row],[Cumulative Revenue Budget]])*100</f>
        <v>-7.7937794989713174</v>
      </c>
      <c r="L9" s="13">
        <v>62721</v>
      </c>
      <c r="M9" s="13">
        <f>Table136[[#This Row],[Revenue Total Budget 2026]]-Table136[[#This Row],[Cumulative Revenue Actuals]]</f>
        <v>24626</v>
      </c>
      <c r="N9" s="14">
        <f>(Table136[[#This Row],[Revenue To Be Achieved ]]/Table136[[#This Row],[Revenue Total Budget 2026]])*100</f>
        <v>39.262766856395785</v>
      </c>
      <c r="O9" s="15">
        <f>Table136[[#This Row],[Cumulative Expenses Budget]]-S8</f>
        <v>3100</v>
      </c>
      <c r="P9" s="15">
        <f>Table136[[#This Row],[Cumulative Expenses Actuals]]-T8</f>
        <v>2664</v>
      </c>
      <c r="Q9" s="15">
        <f>Table136[[#This Row],[Monthly Expenses Budget]]-Table136[[#This Row],[Monthly Expenses Actuals]]</f>
        <v>436</v>
      </c>
      <c r="R9" s="16">
        <f>(Table136[[#This Row],[Monthly Expenses Variance]]/Table136[[#This Row],[Monthly Expenses Budget]])*100</f>
        <v>14.06451612903226</v>
      </c>
      <c r="S9" s="15">
        <v>24801</v>
      </c>
      <c r="T9" s="15">
        <v>20745</v>
      </c>
      <c r="U9" s="15">
        <f>Table136[[#This Row],[Cumulative Expenses Budget]]-Table136[[#This Row],[Cumulative Expenses Actuals]]</f>
        <v>4056</v>
      </c>
      <c r="V9" s="16">
        <f>(Table136[[#This Row],[Cumulative Expenses Variance]]/Table136[[#This Row],[Cumulative Expenses Budget]])*100</f>
        <v>16.354179266965041</v>
      </c>
      <c r="W9" s="15">
        <v>37202</v>
      </c>
      <c r="X9" s="15">
        <f>Table136[[#This Row],[Expenses Total Budget 2026]]-Table136[[#This Row],[Cumulative Expenses Actuals]]</f>
        <v>16457</v>
      </c>
      <c r="Y9" s="16">
        <f>(Table136[[#This Row],[Expenses To Be Achieved ]]/Table136[[#This Row],[Expenses Total Budget 2026]])*100</f>
        <v>44.236868985538415</v>
      </c>
      <c r="Z9" s="38">
        <f>Table136[[#This Row],[Cumulative Contribution Budget]]-AD8</f>
        <v>1361</v>
      </c>
      <c r="AA9" s="38">
        <f>Table136[[#This Row],[Cumulative Contribution Actuals]]-AE8</f>
        <v>1285</v>
      </c>
      <c r="AB9" s="38">
        <f>Table136[[#This Row],[Monthly Contribution Actuals]]-Table136[[#This Row],[Monthly Contribution Budget]]</f>
        <v>-76</v>
      </c>
      <c r="AC9" s="39">
        <f>(Table136[[#This Row],[Monthly Contribution Variance]]/Table136[[#This Row],[Monthly Contribution Budget]])*100</f>
        <v>-5.5841293166789123</v>
      </c>
      <c r="AD9" s="38">
        <v>16514</v>
      </c>
      <c r="AE9" s="38">
        <v>17350</v>
      </c>
      <c r="AF9" s="38">
        <f>Table136[[#This Row],[Cumulative Contribution Actuals]]-Table136[[#This Row],[Cumulative Contribution Budget]]</f>
        <v>836</v>
      </c>
      <c r="AG9" s="39">
        <f>(Table136[[#This Row],[Cumulative Contribution Variance]]/Table136[[#This Row],[Cumulative Contribution Budget]])*100</f>
        <v>5.0623713213031367</v>
      </c>
      <c r="AH9" s="38">
        <v>25519</v>
      </c>
      <c r="AI9" s="38">
        <f>Table136[[#This Row],[Contribution Total Budget 2026]]-Table136[[#This Row],[Cumulative Contribution Actuals]]</f>
        <v>8169</v>
      </c>
      <c r="AJ9" s="40">
        <f>(Table136[[#This Row],[Contribution To Be Achieved ]]/Table136[[#This Row],[Contribution Total Budget 2026]])*100</f>
        <v>32.011442454641639</v>
      </c>
    </row>
    <row r="10" spans="1:36" x14ac:dyDescent="0.25">
      <c r="A10" s="10" t="s">
        <v>61</v>
      </c>
      <c r="B10" s="11">
        <v>2026</v>
      </c>
      <c r="C10" s="11" t="s">
        <v>11</v>
      </c>
      <c r="D10" s="13"/>
      <c r="E10" s="13"/>
      <c r="F10" s="13"/>
      <c r="G10" s="14"/>
      <c r="H10" s="13"/>
      <c r="I10" s="13"/>
      <c r="J10" s="13"/>
      <c r="K10" s="14"/>
      <c r="L10" s="13"/>
      <c r="M10" s="13"/>
      <c r="N10" s="14"/>
      <c r="O10" s="15"/>
      <c r="P10" s="15"/>
      <c r="Q10" s="15"/>
      <c r="R10" s="16"/>
      <c r="S10" s="15"/>
      <c r="T10" s="15"/>
      <c r="U10" s="15"/>
      <c r="V10" s="16"/>
      <c r="W10" s="15"/>
      <c r="X10" s="15"/>
      <c r="Y10" s="16"/>
      <c r="Z10" s="38"/>
      <c r="AA10" s="38"/>
      <c r="AB10" s="38"/>
      <c r="AC10" s="39"/>
      <c r="AD10" s="38"/>
      <c r="AE10" s="38"/>
      <c r="AF10" s="38"/>
      <c r="AG10" s="39"/>
      <c r="AH10" s="38"/>
      <c r="AI10" s="38"/>
      <c r="AJ10" s="40"/>
    </row>
    <row r="11" spans="1:36" x14ac:dyDescent="0.25">
      <c r="A11" s="10" t="s">
        <v>61</v>
      </c>
      <c r="B11" s="11">
        <v>2026</v>
      </c>
      <c r="C11" s="22" t="s">
        <v>12</v>
      </c>
      <c r="D11" s="13"/>
      <c r="E11" s="13"/>
      <c r="F11" s="13"/>
      <c r="G11" s="14"/>
      <c r="H11" s="13"/>
      <c r="I11" s="13"/>
      <c r="J11" s="13"/>
      <c r="K11" s="14"/>
      <c r="L11" s="13"/>
      <c r="M11" s="13"/>
      <c r="N11" s="14"/>
      <c r="O11" s="15"/>
      <c r="P11" s="15"/>
      <c r="Q11" s="15"/>
      <c r="R11" s="16"/>
      <c r="S11" s="15"/>
      <c r="T11" s="15"/>
      <c r="U11" s="15"/>
      <c r="V11" s="16"/>
      <c r="W11" s="15"/>
      <c r="X11" s="15"/>
      <c r="Y11" s="16"/>
      <c r="Z11" s="38"/>
      <c r="AA11" s="38"/>
      <c r="AB11" s="38"/>
      <c r="AC11" s="39"/>
      <c r="AD11" s="38"/>
      <c r="AE11" s="38"/>
      <c r="AF11" s="38"/>
      <c r="AG11" s="39"/>
      <c r="AH11" s="38"/>
      <c r="AI11" s="38"/>
      <c r="AJ11" s="40"/>
    </row>
    <row r="12" spans="1:36" x14ac:dyDescent="0.25">
      <c r="A12" s="10" t="s">
        <v>61</v>
      </c>
      <c r="B12" s="11">
        <v>2026</v>
      </c>
      <c r="C12" s="11" t="s">
        <v>13</v>
      </c>
      <c r="D12" s="13"/>
      <c r="E12" s="13"/>
      <c r="F12" s="13"/>
      <c r="G12" s="14"/>
      <c r="H12" s="13"/>
      <c r="I12" s="13"/>
      <c r="J12" s="13"/>
      <c r="K12" s="14"/>
      <c r="L12" s="13"/>
      <c r="M12" s="13"/>
      <c r="N12" s="14"/>
      <c r="O12" s="15"/>
      <c r="P12" s="15"/>
      <c r="Q12" s="15"/>
      <c r="R12" s="16"/>
      <c r="S12" s="15"/>
      <c r="T12" s="15"/>
      <c r="U12" s="15"/>
      <c r="V12" s="16"/>
      <c r="W12" s="15"/>
      <c r="X12" s="15"/>
      <c r="Y12" s="16"/>
      <c r="Z12" s="38"/>
      <c r="AA12" s="38"/>
      <c r="AB12" s="38"/>
      <c r="AC12" s="39"/>
      <c r="AD12" s="38"/>
      <c r="AE12" s="38"/>
      <c r="AF12" s="38"/>
      <c r="AG12" s="39"/>
      <c r="AH12" s="38"/>
      <c r="AI12" s="38"/>
      <c r="AJ12" s="40"/>
    </row>
    <row r="13" spans="1:36" x14ac:dyDescent="0.25">
      <c r="A13" s="23" t="s">
        <v>61</v>
      </c>
      <c r="B13" s="42">
        <v>2026</v>
      </c>
      <c r="C13" s="24" t="s">
        <v>14</v>
      </c>
      <c r="D13" s="25"/>
      <c r="E13" s="25"/>
      <c r="F13" s="25"/>
      <c r="G13" s="26"/>
      <c r="H13" s="25"/>
      <c r="I13" s="25"/>
      <c r="J13" s="25"/>
      <c r="K13" s="26"/>
      <c r="L13" s="25"/>
      <c r="M13" s="25"/>
      <c r="N13" s="26"/>
      <c r="O13" s="27"/>
      <c r="P13" s="27"/>
      <c r="Q13" s="27"/>
      <c r="R13" s="28"/>
      <c r="S13" s="27"/>
      <c r="T13" s="27"/>
      <c r="U13" s="27"/>
      <c r="V13" s="28"/>
      <c r="W13" s="27"/>
      <c r="X13" s="27"/>
      <c r="Y13" s="28"/>
      <c r="Z13" s="43"/>
      <c r="AA13" s="43"/>
      <c r="AB13" s="43"/>
      <c r="AC13" s="44"/>
      <c r="AD13" s="43"/>
      <c r="AE13" s="43"/>
      <c r="AF13" s="43"/>
      <c r="AG13" s="44"/>
      <c r="AH13" s="43"/>
      <c r="AI13" s="43"/>
      <c r="AJ13" s="4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FF5E7-FA4C-4586-9280-043066421E41}">
  <sheetPr codeName="Sheet8"/>
  <dimension ref="A1:AJ13"/>
  <sheetViews>
    <sheetView zoomScaleNormal="100" workbookViewId="0">
      <selection activeCell="A10" sqref="A10"/>
    </sheetView>
  </sheetViews>
  <sheetFormatPr defaultRowHeight="15" x14ac:dyDescent="0.25"/>
  <cols>
    <col min="1" max="1" width="18.85546875" customWidth="1"/>
    <col min="2" max="2" width="7.140625" customWidth="1"/>
    <col min="4" max="4" width="22.140625" customWidth="1"/>
    <col min="5" max="5" width="22.5703125" customWidth="1"/>
    <col min="6" max="6" width="23.5703125" customWidth="1"/>
    <col min="7" max="7" width="25.42578125" customWidth="1"/>
    <col min="8" max="8" width="25.140625" customWidth="1"/>
    <col min="9" max="9" width="24.5703125" customWidth="1"/>
    <col min="10" max="10" width="26.42578125" customWidth="1"/>
    <col min="11" max="11" width="28.28515625" customWidth="1"/>
    <col min="12" max="12" width="23.85546875" customWidth="1"/>
    <col min="13" max="13" width="22" customWidth="1"/>
    <col min="14" max="14" width="23.140625" customWidth="1"/>
    <col min="15" max="15" width="22.85546875" customWidth="1"/>
    <col min="16" max="16" width="23.42578125" customWidth="1"/>
    <col min="17" max="17" width="24.42578125" customWidth="1"/>
    <col min="18" max="18" width="26.140625" customWidth="1"/>
    <col min="19" max="19" width="25.85546875" customWidth="1"/>
    <col min="20" max="20" width="25.42578125" customWidth="1"/>
    <col min="21" max="21" width="27.28515625" customWidth="1"/>
    <col min="22" max="22" width="29.140625" customWidth="1"/>
    <col min="23" max="23" width="24.7109375" customWidth="1"/>
    <col min="24" max="24" width="22.85546875" customWidth="1"/>
    <col min="25" max="25" width="23.85546875" customWidth="1"/>
    <col min="26" max="26" width="25.42578125" customWidth="1"/>
    <col min="27" max="27" width="25.85546875" customWidth="1"/>
    <col min="28" max="28" width="26.7109375" customWidth="1"/>
    <col min="29" max="29" width="28.5703125" customWidth="1"/>
    <col min="30" max="30" width="28.28515625" customWidth="1"/>
    <col min="31" max="31" width="27.85546875" customWidth="1"/>
    <col min="32" max="32" width="29.7109375" customWidth="1"/>
    <col min="33" max="33" width="31.5703125" customWidth="1"/>
    <col min="34" max="34" width="27.140625" customWidth="1"/>
    <col min="35" max="35" width="25.28515625" customWidth="1"/>
    <col min="36" max="36" width="26.42578125" customWidth="1"/>
  </cols>
  <sheetData>
    <row r="1" spans="1:36" s="1" customFormat="1" ht="30" x14ac:dyDescent="0.25">
      <c r="A1" s="2" t="s">
        <v>0</v>
      </c>
      <c r="B1" s="3" t="s">
        <v>1</v>
      </c>
      <c r="C1" s="3" t="s">
        <v>2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56</v>
      </c>
      <c r="J1" s="4" t="s">
        <v>21</v>
      </c>
      <c r="K1" s="4" t="s">
        <v>22</v>
      </c>
      <c r="L1" s="4" t="s">
        <v>89</v>
      </c>
      <c r="M1" s="4" t="s">
        <v>23</v>
      </c>
      <c r="N1" s="4" t="s">
        <v>24</v>
      </c>
      <c r="O1" s="5" t="s">
        <v>25</v>
      </c>
      <c r="P1" s="5" t="s">
        <v>26</v>
      </c>
      <c r="Q1" s="5" t="s">
        <v>27</v>
      </c>
      <c r="R1" s="5" t="s">
        <v>28</v>
      </c>
      <c r="S1" s="5" t="s">
        <v>29</v>
      </c>
      <c r="T1" s="5" t="s">
        <v>55</v>
      </c>
      <c r="U1" s="5" t="s">
        <v>30</v>
      </c>
      <c r="V1" s="5" t="s">
        <v>31</v>
      </c>
      <c r="W1" s="5" t="s">
        <v>90</v>
      </c>
      <c r="X1" s="5" t="s">
        <v>32</v>
      </c>
      <c r="Y1" s="5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7" t="s">
        <v>57</v>
      </c>
      <c r="AF1" s="7" t="s">
        <v>39</v>
      </c>
      <c r="AG1" s="7" t="s">
        <v>40</v>
      </c>
      <c r="AH1" s="7" t="s">
        <v>91</v>
      </c>
      <c r="AI1" s="7" t="s">
        <v>41</v>
      </c>
      <c r="AJ1" s="35" t="s">
        <v>42</v>
      </c>
    </row>
    <row r="2" spans="1:36" x14ac:dyDescent="0.25">
      <c r="A2" s="10" t="s">
        <v>62</v>
      </c>
      <c r="B2" s="11">
        <v>2026</v>
      </c>
      <c r="C2" s="12" t="s">
        <v>3</v>
      </c>
      <c r="D2" s="13">
        <v>137908.58333333334</v>
      </c>
      <c r="E2" s="13">
        <v>144376.4</v>
      </c>
      <c r="F2" s="13">
        <f>Table1367[[#This Row],[Monthly Revenue Actuals]]-Table1367[[#This Row],[Monthly Revenue Budget]]</f>
        <v>6467.8166666666511</v>
      </c>
      <c r="G2" s="14">
        <f>(Table1367[[#This Row],[Monthly Revenue Variance]]/Table1367[[#This Row],[Monthly Revenue Budget]])*100</f>
        <v>4.6899304672237472</v>
      </c>
      <c r="H2" s="13">
        <v>137908.58333333334</v>
      </c>
      <c r="I2" s="13">
        <v>144376.4</v>
      </c>
      <c r="J2" s="13">
        <f>Table1367[[#This Row],[Cumulative Revenue Actuals]]-Table1367[[#This Row],[Cumulative Revenue Budget]]</f>
        <v>6467.8166666666511</v>
      </c>
      <c r="K2" s="14">
        <f>(Table1367[[#This Row],[Cumulative Revenue Variance]]/Table1367[[#This Row],[Cumulative Revenue Budget]])*100</f>
        <v>4.6899304672237472</v>
      </c>
      <c r="L2" s="13">
        <v>561921</v>
      </c>
      <c r="M2" s="13">
        <f>Table1367[[#This Row],[Revenue Total Budget 2026]]-Table1367[[#This Row],[Cumulative Revenue Actuals]]</f>
        <v>417544.6</v>
      </c>
      <c r="N2" s="14">
        <f>(Table1367[[#This Row],[Revenue To Be Achieved ]]/Table1367[[#This Row],[Revenue Total Budget 2026]])*100</f>
        <v>74.306637409885013</v>
      </c>
      <c r="O2" s="15">
        <v>72126</v>
      </c>
      <c r="P2" s="15">
        <v>73099.305930000002</v>
      </c>
      <c r="Q2" s="15">
        <f>Table1367[[#This Row],[Monthly Expenses Budget]]-Table1367[[#This Row],[Monthly Expenses Actuals]]</f>
        <v>-973.30593000000226</v>
      </c>
      <c r="R2" s="16">
        <f>(Table1367[[#This Row],[Monthly Expenses Variance]]/Table1367[[#This Row],[Monthly Expenses Budget]])*100</f>
        <v>-1.3494522502287694</v>
      </c>
      <c r="S2" s="15">
        <v>72126</v>
      </c>
      <c r="T2" s="15">
        <v>73099.305930000002</v>
      </c>
      <c r="U2" s="15">
        <f>Table1367[[#This Row],[Cumulative Expenses Budget]]-Table1367[[#This Row],[Cumulative Expenses Actuals]]</f>
        <v>-973.30593000000226</v>
      </c>
      <c r="V2" s="16">
        <f>(Table1367[[#This Row],[Cumulative Expenses Variance]]/Table1367[[#This Row],[Cumulative Expenses Budget]])*100</f>
        <v>-1.3494522502287694</v>
      </c>
      <c r="W2" s="15">
        <v>241229</v>
      </c>
      <c r="X2" s="15">
        <f>Table1367[[#This Row],[Expenses Total Budget 2026]]-Table1367[[#This Row],[Cumulative Expenses Actuals]]</f>
        <v>168129.69407</v>
      </c>
      <c r="Y2" s="16">
        <f>(Table1367[[#This Row],[Expenses To Be Achieved ]]/Table1367[[#This Row],[Expenses Total Budget 2026]])*100</f>
        <v>69.697131800073791</v>
      </c>
      <c r="Z2" s="38">
        <v>65783</v>
      </c>
      <c r="AA2" s="38">
        <v>71277.094070000006</v>
      </c>
      <c r="AB2" s="38">
        <f>Table1367[[#This Row],[Monthly Contribution Actuals]]-Table1367[[#This Row],[Monthly Contribution Budget]]</f>
        <v>5494.0940700000065</v>
      </c>
      <c r="AC2" s="39">
        <f>(Table1367[[#This Row],[Monthly Contribution Variance]]/Table1367[[#This Row],[Monthly Contribution Budget]])*100</f>
        <v>8.3518448079291101</v>
      </c>
      <c r="AD2" s="38">
        <v>65783</v>
      </c>
      <c r="AE2" s="38">
        <v>71277.094070000006</v>
      </c>
      <c r="AF2" s="38">
        <f>Table1367[[#This Row],[Cumulative Contribution Actuals]]-Table1367[[#This Row],[Cumulative Contribution Budget]]</f>
        <v>5494.0940700000065</v>
      </c>
      <c r="AG2" s="39">
        <f>(Table1367[[#This Row],[Cumulative Contribution Variance]]/Table1367[[#This Row],[Cumulative Contribution Budget]])*100</f>
        <v>8.3518448079291101</v>
      </c>
      <c r="AH2" s="38">
        <v>320692</v>
      </c>
      <c r="AI2" s="38">
        <f>Table1367[[#This Row],[Contribution Total Budget 2026]]-Table1367[[#This Row],[Cumulative Contribution Actuals]]</f>
        <v>249414.90593000001</v>
      </c>
      <c r="AJ2" s="40">
        <f>(Table1367[[#This Row],[Contribution To Be Achieved ]]/Table1367[[#This Row],[Contribution Total Budget 2026]])*100</f>
        <v>77.773971888915227</v>
      </c>
    </row>
    <row r="3" spans="1:36" x14ac:dyDescent="0.25">
      <c r="A3" s="10" t="s">
        <v>62</v>
      </c>
      <c r="B3" s="11">
        <v>2026</v>
      </c>
      <c r="C3" s="22" t="s">
        <v>4</v>
      </c>
      <c r="D3" s="13">
        <v>32089.416666666657</v>
      </c>
      <c r="E3" s="13">
        <v>34745.000000000029</v>
      </c>
      <c r="F3" s="13">
        <f>Table1367[[#This Row],[Monthly Revenue Actuals]]-Table1367[[#This Row],[Monthly Revenue Budget]]</f>
        <v>2655.5833333333721</v>
      </c>
      <c r="G3" s="14">
        <f>(Table1367[[#This Row],[Monthly Revenue Variance]]/Table1367[[#This Row],[Monthly Revenue Budget]])*100</f>
        <v>8.2755737223852286</v>
      </c>
      <c r="H3" s="13">
        <v>169998</v>
      </c>
      <c r="I3" s="13">
        <v>179121.40000000002</v>
      </c>
      <c r="J3" s="13">
        <f>Table1367[[#This Row],[Cumulative Revenue Actuals]]-Table1367[[#This Row],[Cumulative Revenue Budget]]</f>
        <v>9123.4000000000233</v>
      </c>
      <c r="K3" s="14">
        <f>(Table1367[[#This Row],[Cumulative Revenue Variance]]/Table1367[[#This Row],[Cumulative Revenue Budget]])*100</f>
        <v>5.3667690208120238</v>
      </c>
      <c r="L3" s="13">
        <v>561921</v>
      </c>
      <c r="M3" s="13">
        <f>Table1367[[#This Row],[Revenue Total Budget 2026]]-Table1367[[#This Row],[Cumulative Revenue Actuals]]</f>
        <v>382799.6</v>
      </c>
      <c r="N3" s="14">
        <f>(Table1367[[#This Row],[Revenue To Be Achieved ]]/Table1367[[#This Row],[Revenue Total Budget 2026]])*100</f>
        <v>68.123383892041758</v>
      </c>
      <c r="O3" s="15">
        <v>6140</v>
      </c>
      <c r="P3" s="15">
        <v>19176.694069999998</v>
      </c>
      <c r="Q3" s="15">
        <f>Table1367[[#This Row],[Monthly Expenses Budget]]-Table1367[[#This Row],[Monthly Expenses Actuals]]</f>
        <v>-13036.694069999998</v>
      </c>
      <c r="R3" s="16">
        <f>(Table1367[[#This Row],[Monthly Expenses Variance]]/Table1367[[#This Row],[Monthly Expenses Budget]])*100</f>
        <v>-212.32400765472309</v>
      </c>
      <c r="S3" s="15">
        <v>78266</v>
      </c>
      <c r="T3" s="15">
        <v>92276</v>
      </c>
      <c r="U3" s="15">
        <f>Table1367[[#This Row],[Cumulative Expenses Budget]]-Table1367[[#This Row],[Cumulative Expenses Actuals]]</f>
        <v>-14010</v>
      </c>
      <c r="V3" s="16">
        <f>(Table1367[[#This Row],[Cumulative Expenses Variance]]/Table1367[[#This Row],[Cumulative Expenses Budget]])*100</f>
        <v>-17.900493189890884</v>
      </c>
      <c r="W3" s="15">
        <v>241229</v>
      </c>
      <c r="X3" s="15">
        <f>Table1367[[#This Row],[Expenses Total Budget 2026]]-Table1367[[#This Row],[Cumulative Expenses Actuals]]</f>
        <v>148953</v>
      </c>
      <c r="Y3" s="16">
        <f>(Table1367[[#This Row],[Expenses To Be Achieved ]]/Table1367[[#This Row],[Expenses Total Budget 2026]])*100</f>
        <v>61.747551082166737</v>
      </c>
      <c r="Z3" s="38">
        <v>25948</v>
      </c>
      <c r="AA3" s="38">
        <v>15567.905929999994</v>
      </c>
      <c r="AB3" s="38">
        <f>Table1367[[#This Row],[Monthly Contribution Actuals]]-Table1367[[#This Row],[Monthly Contribution Budget]]</f>
        <v>-10380.094070000006</v>
      </c>
      <c r="AC3" s="39">
        <f>(Table1367[[#This Row],[Monthly Contribution Variance]]/Table1367[[#This Row],[Monthly Contribution Budget]])*100</f>
        <v>-40.003445622013281</v>
      </c>
      <c r="AD3" s="38">
        <v>91731</v>
      </c>
      <c r="AE3" s="38">
        <v>86845</v>
      </c>
      <c r="AF3" s="38">
        <f>Table1367[[#This Row],[Cumulative Contribution Actuals]]-Table1367[[#This Row],[Cumulative Contribution Budget]]</f>
        <v>-4886</v>
      </c>
      <c r="AG3" s="39">
        <f>(Table1367[[#This Row],[Cumulative Contribution Variance]]/Table1367[[#This Row],[Cumulative Contribution Budget]])*100</f>
        <v>-5.3264436232026249</v>
      </c>
      <c r="AH3" s="38">
        <v>320692</v>
      </c>
      <c r="AI3" s="38">
        <f>Table1367[[#This Row],[Contribution Total Budget 2026]]-Table1367[[#This Row],[Cumulative Contribution Actuals]]</f>
        <v>233847</v>
      </c>
      <c r="AJ3" s="40">
        <f>(Table1367[[#This Row],[Contribution To Be Achieved ]]/Table1367[[#This Row],[Contribution Total Budget 2026]])*100</f>
        <v>72.919499083232509</v>
      </c>
    </row>
    <row r="4" spans="1:36" x14ac:dyDescent="0.25">
      <c r="A4" s="10" t="s">
        <v>62</v>
      </c>
      <c r="B4" s="11">
        <v>2026</v>
      </c>
      <c r="C4" s="11" t="s">
        <v>5</v>
      </c>
      <c r="D4" s="13">
        <v>10152</v>
      </c>
      <c r="E4" s="13">
        <v>11318.599999999977</v>
      </c>
      <c r="F4" s="13">
        <f>Table1367[[#This Row],[Monthly Revenue Actuals]]-Table1367[[#This Row],[Monthly Revenue Budget]]</f>
        <v>1166.5999999999767</v>
      </c>
      <c r="G4" s="14">
        <f>(Table1367[[#This Row],[Monthly Revenue Variance]]/Table1367[[#This Row],[Monthly Revenue Budget]])*100</f>
        <v>11.491331757288975</v>
      </c>
      <c r="H4" s="13">
        <v>180150</v>
      </c>
      <c r="I4" s="13">
        <v>190440</v>
      </c>
      <c r="J4" s="13">
        <f>Table1367[[#This Row],[Cumulative Revenue Actuals]]-Table1367[[#This Row],[Cumulative Revenue Budget]]</f>
        <v>10290</v>
      </c>
      <c r="K4" s="14">
        <f>(Table1367[[#This Row],[Cumulative Revenue Variance]]/Table1367[[#This Row],[Cumulative Revenue Budget]])*100</f>
        <v>5.7119067443796832</v>
      </c>
      <c r="L4" s="13">
        <v>561921</v>
      </c>
      <c r="M4" s="13">
        <f>Table1367[[#This Row],[Revenue Total Budget 2026]]-Table1367[[#This Row],[Cumulative Revenue Actuals]]</f>
        <v>371481</v>
      </c>
      <c r="N4" s="14">
        <f>(Table1367[[#This Row],[Revenue To Be Achieved ]]/Table1367[[#This Row],[Revenue Total Budget 2026]])*100</f>
        <v>66.109114982355166</v>
      </c>
      <c r="O4" s="15">
        <v>8595</v>
      </c>
      <c r="P4" s="15">
        <v>-6821</v>
      </c>
      <c r="Q4" s="15">
        <f>Table1367[[#This Row],[Monthly Expenses Budget]]-Table1367[[#This Row],[Monthly Expenses Actuals]]</f>
        <v>15416</v>
      </c>
      <c r="R4" s="16">
        <f>(Table1367[[#This Row],[Monthly Expenses Variance]]/Table1367[[#This Row],[Monthly Expenses Budget]])*100</f>
        <v>179.36009307737058</v>
      </c>
      <c r="S4" s="15">
        <v>86861</v>
      </c>
      <c r="T4" s="15">
        <v>85455</v>
      </c>
      <c r="U4" s="15">
        <f>Table1367[[#This Row],[Cumulative Expenses Budget]]-Table1367[[#This Row],[Cumulative Expenses Actuals]]</f>
        <v>1406</v>
      </c>
      <c r="V4" s="16">
        <f>(Table1367[[#This Row],[Cumulative Expenses Variance]]/Table1367[[#This Row],[Cumulative Expenses Budget]])*100</f>
        <v>1.6186781179125267</v>
      </c>
      <c r="W4" s="15">
        <v>241229</v>
      </c>
      <c r="X4" s="15">
        <f>Table1367[[#This Row],[Expenses Total Budget 2026]]-Table1367[[#This Row],[Cumulative Expenses Actuals]]</f>
        <v>155774</v>
      </c>
      <c r="Y4" s="16">
        <f>(Table1367[[#This Row],[Expenses To Be Achieved ]]/Table1367[[#This Row],[Expenses Total Budget 2026]])*100</f>
        <v>64.575154728494496</v>
      </c>
      <c r="Z4" s="38">
        <v>1558</v>
      </c>
      <c r="AA4" s="38">
        <v>18140</v>
      </c>
      <c r="AB4" s="38">
        <f>Table1367[[#This Row],[Monthly Contribution Actuals]]-Table1367[[#This Row],[Monthly Contribution Budget]]</f>
        <v>16582</v>
      </c>
      <c r="AC4" s="38">
        <f>(Table1367[[#This Row],[Monthly Contribution Variance]]/Table1367[[#This Row],[Monthly Contribution Budget]])*100</f>
        <v>1064.3132220795892</v>
      </c>
      <c r="AD4" s="38">
        <v>93289</v>
      </c>
      <c r="AE4" s="38">
        <v>104985</v>
      </c>
      <c r="AF4" s="38">
        <f>Table1367[[#This Row],[Cumulative Contribution Actuals]]-Table1367[[#This Row],[Cumulative Contribution Budget]]</f>
        <v>11696</v>
      </c>
      <c r="AG4" s="39">
        <f>(Table1367[[#This Row],[Cumulative Contribution Variance]]/Table1367[[#This Row],[Cumulative Contribution Budget]])*100</f>
        <v>12.537383828747226</v>
      </c>
      <c r="AH4" s="38">
        <v>320692</v>
      </c>
      <c r="AI4" s="38">
        <f>Table1367[[#This Row],[Contribution Total Budget 2026]]-Table1367[[#This Row],[Cumulative Contribution Actuals]]</f>
        <v>215707</v>
      </c>
      <c r="AJ4" s="40">
        <f>(Table1367[[#This Row],[Contribution To Be Achieved ]]/Table1367[[#This Row],[Contribution Total Budget 2026]])*100</f>
        <v>67.262981302932417</v>
      </c>
    </row>
    <row r="5" spans="1:36" x14ac:dyDescent="0.25">
      <c r="A5" s="10" t="s">
        <v>62</v>
      </c>
      <c r="B5" s="11">
        <v>2026</v>
      </c>
      <c r="C5" s="22" t="s">
        <v>6</v>
      </c>
      <c r="D5" s="13">
        <v>2433</v>
      </c>
      <c r="E5" s="13">
        <v>5119</v>
      </c>
      <c r="F5" s="13">
        <f>Table1367[[#This Row],[Monthly Revenue Actuals]]-Table1367[[#This Row],[Monthly Revenue Budget]]</f>
        <v>2686</v>
      </c>
      <c r="G5" s="14">
        <f>(Table1367[[#This Row],[Monthly Revenue Variance]]/Table1367[[#This Row],[Monthly Revenue Budget]])*100</f>
        <v>110.39868475133581</v>
      </c>
      <c r="H5" s="13">
        <v>182583</v>
      </c>
      <c r="I5" s="13">
        <v>195559</v>
      </c>
      <c r="J5" s="13">
        <f>Table1367[[#This Row],[Cumulative Revenue Actuals]]-Table1367[[#This Row],[Cumulative Revenue Budget]]</f>
        <v>12976</v>
      </c>
      <c r="K5" s="14">
        <f>(Table1367[[#This Row],[Cumulative Revenue Variance]]/Table1367[[#This Row],[Cumulative Revenue Budget]])*100</f>
        <v>7.1069048049380283</v>
      </c>
      <c r="L5" s="13">
        <v>561921</v>
      </c>
      <c r="M5" s="13">
        <f>Table1367[[#This Row],[Revenue Total Budget 2026]]-Table1367[[#This Row],[Cumulative Revenue Actuals]]</f>
        <v>366362</v>
      </c>
      <c r="N5" s="14">
        <f>(Table1367[[#This Row],[Revenue To Be Achieved ]]/Table1367[[#This Row],[Revenue Total Budget 2026]])*100</f>
        <v>65.198132833618956</v>
      </c>
      <c r="O5" s="15">
        <v>3784</v>
      </c>
      <c r="P5" s="15">
        <v>-273</v>
      </c>
      <c r="Q5" s="15">
        <f>Table1367[[#This Row],[Monthly Expenses Budget]]-Table1367[[#This Row],[Monthly Expenses Actuals]]</f>
        <v>4057</v>
      </c>
      <c r="R5" s="16">
        <f>(Table1367[[#This Row],[Monthly Expenses Variance]]/Table1367[[#This Row],[Monthly Expenses Budget]])*100</f>
        <v>107.21458773784356</v>
      </c>
      <c r="S5" s="15">
        <v>90645</v>
      </c>
      <c r="T5" s="15">
        <v>85182</v>
      </c>
      <c r="U5" s="15">
        <f>Table1367[[#This Row],[Cumulative Expenses Budget]]-Table1367[[#This Row],[Cumulative Expenses Actuals]]</f>
        <v>5463</v>
      </c>
      <c r="V5" s="16">
        <f>(Table1367[[#This Row],[Cumulative Expenses Variance]]/Table1367[[#This Row],[Cumulative Expenses Budget]])*100</f>
        <v>6.0268078768823434</v>
      </c>
      <c r="W5" s="15">
        <v>241229</v>
      </c>
      <c r="X5" s="15">
        <f>Table1367[[#This Row],[Expenses Total Budget 2026]]-Table1367[[#This Row],[Cumulative Expenses Actuals]]</f>
        <v>156047</v>
      </c>
      <c r="Y5" s="16">
        <f>(Table1367[[#This Row],[Expenses To Be Achieved ]]/Table1367[[#This Row],[Expenses Total Budget 2026]])*100</f>
        <v>64.688325201364677</v>
      </c>
      <c r="Z5" s="38">
        <v>-1351</v>
      </c>
      <c r="AA5" s="38">
        <v>5393</v>
      </c>
      <c r="AB5" s="38">
        <f>Table1367[[#This Row],[Monthly Contribution Actuals]]-Table1367[[#This Row],[Monthly Contribution Budget]]</f>
        <v>6744</v>
      </c>
      <c r="AC5" s="38">
        <f>-(Table1367[[#This Row],[Monthly Contribution Variance]]/Table1367[[#This Row],[Monthly Contribution Budget]])*100</f>
        <v>499.18578830495932</v>
      </c>
      <c r="AD5" s="38">
        <v>91938</v>
      </c>
      <c r="AE5" s="38">
        <v>110378</v>
      </c>
      <c r="AF5" s="38">
        <f>Table1367[[#This Row],[Cumulative Contribution Actuals]]-Table1367[[#This Row],[Cumulative Contribution Budget]]</f>
        <v>18440</v>
      </c>
      <c r="AG5" s="39">
        <f>(Table1367[[#This Row],[Cumulative Contribution Variance]]/Table1367[[#This Row],[Cumulative Contribution Budget]])*100</f>
        <v>20.056994931366788</v>
      </c>
      <c r="AH5" s="38">
        <v>320692</v>
      </c>
      <c r="AI5" s="38">
        <f>Table1367[[#This Row],[Contribution Total Budget 2026]]-Table1367[[#This Row],[Cumulative Contribution Actuals]]</f>
        <v>210314</v>
      </c>
      <c r="AJ5" s="40">
        <f>(Table1367[[#This Row],[Contribution To Be Achieved ]]/Table1367[[#This Row],[Contribution Total Budget 2026]])*100</f>
        <v>65.581305427014087</v>
      </c>
    </row>
    <row r="6" spans="1:36" x14ac:dyDescent="0.25">
      <c r="A6" s="10" t="s">
        <v>62</v>
      </c>
      <c r="B6" s="11">
        <v>2026</v>
      </c>
      <c r="C6" s="11" t="s">
        <v>7</v>
      </c>
      <c r="D6" s="13">
        <v>28753</v>
      </c>
      <c r="E6" s="13">
        <v>4304</v>
      </c>
      <c r="F6" s="13">
        <f>Table1367[[#This Row],[Monthly Revenue Actuals]]-Table1367[[#This Row],[Monthly Revenue Budget]]</f>
        <v>-24449</v>
      </c>
      <c r="G6" s="14">
        <f>(Table1367[[#This Row],[Monthly Revenue Variance]]/Table1367[[#This Row],[Monthly Revenue Budget]])*100</f>
        <v>-85.031127186728341</v>
      </c>
      <c r="H6" s="13">
        <v>211336</v>
      </c>
      <c r="I6" s="13">
        <v>199863</v>
      </c>
      <c r="J6" s="13">
        <f>Table1367[[#This Row],[Cumulative Revenue Actuals]]-Table1367[[#This Row],[Cumulative Revenue Budget]]</f>
        <v>-11473</v>
      </c>
      <c r="K6" s="14">
        <f>(Table1367[[#This Row],[Cumulative Revenue Variance]]/Table1367[[#This Row],[Cumulative Revenue Budget]])*100</f>
        <v>-5.428795851156452</v>
      </c>
      <c r="L6" s="13">
        <v>561921</v>
      </c>
      <c r="M6" s="13">
        <f>Table1367[[#This Row],[Revenue Total Budget 2026]]-Table1367[[#This Row],[Cumulative Revenue Actuals]]</f>
        <v>362058</v>
      </c>
      <c r="N6" s="14">
        <f>(Table1367[[#This Row],[Revenue To Be Achieved ]]/Table1367[[#This Row],[Revenue Total Budget 2026]])*100</f>
        <v>64.432188866406491</v>
      </c>
      <c r="O6" s="15">
        <v>9642</v>
      </c>
      <c r="P6" s="15">
        <v>7985</v>
      </c>
      <c r="Q6" s="15">
        <f>Table1367[[#This Row],[Monthly Expenses Budget]]-Table1367[[#This Row],[Monthly Expenses Actuals]]</f>
        <v>1657</v>
      </c>
      <c r="R6" s="16">
        <f>(Table1367[[#This Row],[Monthly Expenses Variance]]/Table1367[[#This Row],[Monthly Expenses Budget]])*100</f>
        <v>17.185231279817465</v>
      </c>
      <c r="S6" s="15">
        <v>100287</v>
      </c>
      <c r="T6" s="15">
        <v>93167</v>
      </c>
      <c r="U6" s="15">
        <f>Table1367[[#This Row],[Cumulative Expenses Budget]]-Table1367[[#This Row],[Cumulative Expenses Actuals]]</f>
        <v>7120</v>
      </c>
      <c r="V6" s="16">
        <f>(Table1367[[#This Row],[Cumulative Expenses Variance]]/Table1367[[#This Row],[Cumulative Expenses Budget]])*100</f>
        <v>7.0996240788935756</v>
      </c>
      <c r="W6" s="15">
        <v>241229</v>
      </c>
      <c r="X6" s="15">
        <f>Table1367[[#This Row],[Expenses Total Budget 2026]]-Table1367[[#This Row],[Cumulative Expenses Actuals]]</f>
        <v>148062</v>
      </c>
      <c r="Y6" s="16">
        <f>(Table1367[[#This Row],[Expenses To Be Achieved ]]/Table1367[[#This Row],[Expenses Total Budget 2026]])*100</f>
        <v>61.378192505876164</v>
      </c>
      <c r="Z6" s="38">
        <v>19111</v>
      </c>
      <c r="AA6" s="38">
        <v>-3682</v>
      </c>
      <c r="AB6" s="38">
        <f>Table1367[[#This Row],[Monthly Contribution Actuals]]-Table1367[[#This Row],[Monthly Contribution Budget]]</f>
        <v>-22793</v>
      </c>
      <c r="AC6" s="38">
        <f>(Table1367[[#This Row],[Monthly Contribution Variance]]/Table1367[[#This Row],[Monthly Contribution Budget]])*100</f>
        <v>-119.26639108366911</v>
      </c>
      <c r="AD6" s="38">
        <v>111049</v>
      </c>
      <c r="AE6" s="38">
        <v>106696</v>
      </c>
      <c r="AF6" s="38">
        <f>Table1367[[#This Row],[Cumulative Contribution Actuals]]-Table1367[[#This Row],[Cumulative Contribution Budget]]</f>
        <v>-4353</v>
      </c>
      <c r="AG6" s="39">
        <f>(Table1367[[#This Row],[Cumulative Contribution Variance]]/Table1367[[#This Row],[Cumulative Contribution Budget]])*100</f>
        <v>-3.9198912191915278</v>
      </c>
      <c r="AH6" s="38">
        <v>320692</v>
      </c>
      <c r="AI6" s="38">
        <f>Table1367[[#This Row],[Contribution Total Budget 2026]]-Table1367[[#This Row],[Cumulative Contribution Actuals]]</f>
        <v>213996</v>
      </c>
      <c r="AJ6" s="40">
        <f>(Table1367[[#This Row],[Contribution To Be Achieved ]]/Table1367[[#This Row],[Contribution Total Budget 2026]])*100</f>
        <v>66.729447569630679</v>
      </c>
    </row>
    <row r="7" spans="1:36" x14ac:dyDescent="0.25">
      <c r="A7" s="10" t="s">
        <v>62</v>
      </c>
      <c r="B7" s="11">
        <v>2026</v>
      </c>
      <c r="C7" s="22" t="s">
        <v>8</v>
      </c>
      <c r="D7" s="13">
        <v>112730</v>
      </c>
      <c r="E7" s="13">
        <v>140783</v>
      </c>
      <c r="F7" s="13">
        <f>Table1367[[#This Row],[Monthly Revenue Actuals]]-Table1367[[#This Row],[Monthly Revenue Budget]]</f>
        <v>28053</v>
      </c>
      <c r="G7" s="14">
        <f>(Table1367[[#This Row],[Monthly Revenue Variance]]/Table1367[[#This Row],[Monthly Revenue Budget]])*100</f>
        <v>24.885123747006123</v>
      </c>
      <c r="H7" s="13">
        <v>324066</v>
      </c>
      <c r="I7" s="13">
        <v>340646</v>
      </c>
      <c r="J7" s="13">
        <f>Table1367[[#This Row],[Cumulative Revenue Actuals]]-Table1367[[#This Row],[Cumulative Revenue Budget]]</f>
        <v>16580</v>
      </c>
      <c r="K7" s="14">
        <f>(Table1367[[#This Row],[Cumulative Revenue Variance]]/Table1367[[#This Row],[Cumulative Revenue Budget]])*100</f>
        <v>5.1162417532231084</v>
      </c>
      <c r="L7" s="13">
        <v>561921</v>
      </c>
      <c r="M7" s="13">
        <f>Table1367[[#This Row],[Revenue Total Budget 2026]]-Table1367[[#This Row],[Cumulative Revenue Actuals]]</f>
        <v>221275</v>
      </c>
      <c r="N7" s="14">
        <f>(Table1367[[#This Row],[Revenue To Be Achieved ]]/Table1367[[#This Row],[Revenue Total Budget 2026]])*100</f>
        <v>39.378311186091999</v>
      </c>
      <c r="O7" s="15">
        <v>46366</v>
      </c>
      <c r="P7" s="15">
        <v>53939</v>
      </c>
      <c r="Q7" s="15">
        <f>Table1367[[#This Row],[Monthly Expenses Budget]]-Table1367[[#This Row],[Monthly Expenses Actuals]]</f>
        <v>-7573</v>
      </c>
      <c r="R7" s="16">
        <f>(Table1367[[#This Row],[Monthly Expenses Variance]]/Table1367[[#This Row],[Monthly Expenses Budget]])*100</f>
        <v>-16.333088901350127</v>
      </c>
      <c r="S7" s="15">
        <v>146653</v>
      </c>
      <c r="T7" s="15">
        <v>139120</v>
      </c>
      <c r="U7" s="15">
        <f>Table1367[[#This Row],[Cumulative Expenses Budget]]-Table1367[[#This Row],[Cumulative Expenses Actuals]]</f>
        <v>7533</v>
      </c>
      <c r="V7" s="16">
        <f>(Table1367[[#This Row],[Cumulative Expenses Variance]]/Table1367[[#This Row],[Cumulative Expenses Budget]])*100</f>
        <v>5.1366150027616211</v>
      </c>
      <c r="W7" s="15">
        <v>241229</v>
      </c>
      <c r="X7" s="15">
        <f>Table1367[[#This Row],[Expenses Total Budget 2026]]-Table1367[[#This Row],[Cumulative Expenses Actuals]]</f>
        <v>102109</v>
      </c>
      <c r="Y7" s="16">
        <f>(Table1367[[#This Row],[Expenses To Be Achieved ]]/Table1367[[#This Row],[Expenses Total Budget 2026]])*100</f>
        <v>42.328658660442983</v>
      </c>
      <c r="Z7" s="38">
        <v>66364</v>
      </c>
      <c r="AA7" s="38">
        <v>86844</v>
      </c>
      <c r="AB7" s="38">
        <f>Table1367[[#This Row],[Monthly Contribution Actuals]]-Table1367[[#This Row],[Monthly Contribution Budget]]</f>
        <v>20480</v>
      </c>
      <c r="AC7" s="38">
        <f>(Table1367[[#This Row],[Monthly Contribution Variance]]/Table1367[[#This Row],[Monthly Contribution Budget]])*100</f>
        <v>30.860104876137669</v>
      </c>
      <c r="AD7" s="38">
        <v>177413</v>
      </c>
      <c r="AE7" s="38">
        <v>201526</v>
      </c>
      <c r="AF7" s="38">
        <f>Table1367[[#This Row],[Cumulative Contribution Actuals]]-Table1367[[#This Row],[Cumulative Contribution Budget]]</f>
        <v>24113</v>
      </c>
      <c r="AG7" s="39">
        <f>(Table1367[[#This Row],[Cumulative Contribution Variance]]/Table1367[[#This Row],[Cumulative Contribution Budget]])*100</f>
        <v>13.591450457407293</v>
      </c>
      <c r="AH7" s="38">
        <v>320692</v>
      </c>
      <c r="AI7" s="38">
        <f>Table1367[[#This Row],[Contribution Total Budget 2026]]-Table1367[[#This Row],[Cumulative Contribution Actuals]]</f>
        <v>119166</v>
      </c>
      <c r="AJ7" s="40">
        <f>(Table1367[[#This Row],[Contribution To Be Achieved ]]/Table1367[[#This Row],[Contribution Total Budget 2026]])*100</f>
        <v>37.159018622229425</v>
      </c>
    </row>
    <row r="8" spans="1:36" x14ac:dyDescent="0.25">
      <c r="A8" s="10" t="s">
        <v>62</v>
      </c>
      <c r="B8" s="11">
        <v>2026</v>
      </c>
      <c r="C8" s="11" t="s">
        <v>9</v>
      </c>
      <c r="D8" s="13">
        <f>Table1367[[#This Row],[Cumulative Revenue Budget]]-H7</f>
        <v>28752</v>
      </c>
      <c r="E8" s="13">
        <f>Table1367[[#This Row],[Cumulative Revenue Actuals]]-I7</f>
        <v>6492</v>
      </c>
      <c r="F8" s="13">
        <f>Table1367[[#This Row],[Monthly Revenue Actuals]]-Table1367[[#This Row],[Monthly Revenue Budget]]</f>
        <v>-22260</v>
      </c>
      <c r="G8" s="14">
        <f>(Table1367[[#This Row],[Monthly Revenue Variance]]/Table1367[[#This Row],[Monthly Revenue Budget]])*100</f>
        <v>-77.420701168614357</v>
      </c>
      <c r="H8" s="13">
        <v>352818</v>
      </c>
      <c r="I8" s="13">
        <v>347138</v>
      </c>
      <c r="J8" s="13">
        <f>Table1367[[#This Row],[Cumulative Revenue Actuals]]-Table1367[[#This Row],[Cumulative Revenue Budget]]</f>
        <v>-5680</v>
      </c>
      <c r="K8" s="14">
        <f>(Table1367[[#This Row],[Cumulative Revenue Variance]]/Table1367[[#This Row],[Cumulative Revenue Budget]])*100</f>
        <v>-1.6098951867535103</v>
      </c>
      <c r="L8" s="13">
        <v>561921</v>
      </c>
      <c r="M8" s="13">
        <f>Table1367[[#This Row],[Revenue Total Budget 2026]]-Table1367[[#This Row],[Cumulative Revenue Actuals]]</f>
        <v>214783</v>
      </c>
      <c r="N8" s="14">
        <f>(Table1367[[#This Row],[Revenue To Be Achieved ]]/Table1367[[#This Row],[Revenue Total Budget 2026]])*100</f>
        <v>38.222988640751993</v>
      </c>
      <c r="O8" s="15">
        <f>Table1367[[#This Row],[Cumulative Expenses Budget]]-S7</f>
        <v>9642</v>
      </c>
      <c r="P8" s="15">
        <f>Table1367[[#This Row],[Cumulative Expenses Actuals]]-T7</f>
        <v>12788</v>
      </c>
      <c r="Q8" s="15">
        <f>Table1367[[#This Row],[Monthly Expenses Budget]]-Table1367[[#This Row],[Monthly Expenses Actuals]]</f>
        <v>-3146</v>
      </c>
      <c r="R8" s="16">
        <f>(Table1367[[#This Row],[Monthly Expenses Variance]]/Table1367[[#This Row],[Monthly Expenses Budget]])*100</f>
        <v>-32.628085459448251</v>
      </c>
      <c r="S8" s="15">
        <v>156295</v>
      </c>
      <c r="T8" s="15">
        <v>151908</v>
      </c>
      <c r="U8" s="15">
        <f>Table1367[[#This Row],[Cumulative Expenses Budget]]-Table1367[[#This Row],[Cumulative Expenses Actuals]]</f>
        <v>4387</v>
      </c>
      <c r="V8" s="16">
        <f>(Table1367[[#This Row],[Cumulative Expenses Variance]]/Table1367[[#This Row],[Cumulative Expenses Budget]])*100</f>
        <v>2.8068716209731597</v>
      </c>
      <c r="W8" s="15">
        <v>241229</v>
      </c>
      <c r="X8" s="15">
        <f>Table1367[[#This Row],[Expenses Total Budget 2026]]-Table1367[[#This Row],[Cumulative Expenses Actuals]]</f>
        <v>89321</v>
      </c>
      <c r="Y8" s="16">
        <f>(Table1367[[#This Row],[Expenses To Be Achieved ]]/Table1367[[#This Row],[Expenses Total Budget 2026]])*100</f>
        <v>37.02747182138134</v>
      </c>
      <c r="Z8" s="38">
        <f>Table1367[[#This Row],[Cumulative Contribution Budget]]-AD7</f>
        <v>19110</v>
      </c>
      <c r="AA8" s="38">
        <f>Table1367[[#This Row],[Cumulative Contribution Actuals]]-AE7</f>
        <v>-6296</v>
      </c>
      <c r="AB8" s="38">
        <f>Table1367[[#This Row],[Monthly Contribution Actuals]]-Table1367[[#This Row],[Monthly Contribution Budget]]</f>
        <v>-25406</v>
      </c>
      <c r="AC8" s="38">
        <f>(Table1367[[#This Row],[Monthly Contribution Variance]]/Table1367[[#This Row],[Monthly Contribution Budget]])*100</f>
        <v>-132.94610151753008</v>
      </c>
      <c r="AD8" s="38">
        <v>196523</v>
      </c>
      <c r="AE8" s="38">
        <v>195230</v>
      </c>
      <c r="AF8" s="38">
        <f>Table1367[[#This Row],[Cumulative Contribution Actuals]]-Table1367[[#This Row],[Cumulative Contribution Budget]]</f>
        <v>-1293</v>
      </c>
      <c r="AG8" s="39">
        <f>(Table1367[[#This Row],[Cumulative Contribution Variance]]/Table1367[[#This Row],[Cumulative Contribution Budget]])*100</f>
        <v>-0.6579382565908316</v>
      </c>
      <c r="AH8" s="38">
        <v>320692</v>
      </c>
      <c r="AI8" s="38">
        <f>Table1367[[#This Row],[Contribution Total Budget 2026]]-Table1367[[#This Row],[Cumulative Contribution Actuals]]</f>
        <v>125462</v>
      </c>
      <c r="AJ8" s="40">
        <f>(Table1367[[#This Row],[Contribution To Be Achieved ]]/Table1367[[#This Row],[Contribution Total Budget 2026]])*100</f>
        <v>39.122273084454868</v>
      </c>
    </row>
    <row r="9" spans="1:36" x14ac:dyDescent="0.25">
      <c r="A9" s="10" t="s">
        <v>62</v>
      </c>
      <c r="B9" s="11">
        <v>2026</v>
      </c>
      <c r="C9" s="22" t="s">
        <v>10</v>
      </c>
      <c r="D9" s="13">
        <f>Table1367[[#This Row],[Cumulative Revenue Budget]]-H8</f>
        <v>15753</v>
      </c>
      <c r="E9" s="13">
        <f>Table1367[[#This Row],[Cumulative Revenue Actuals]]-I8</f>
        <v>4877</v>
      </c>
      <c r="F9" s="13">
        <f>Table1367[[#This Row],[Monthly Revenue Actuals]]-Table1367[[#This Row],[Monthly Revenue Budget]]</f>
        <v>-10876</v>
      </c>
      <c r="G9" s="14">
        <f>(Table1367[[#This Row],[Monthly Revenue Variance]]/Table1367[[#This Row],[Monthly Revenue Budget]])*100</f>
        <v>-69.040817622040251</v>
      </c>
      <c r="H9" s="13">
        <v>368571</v>
      </c>
      <c r="I9" s="13">
        <v>352015</v>
      </c>
      <c r="J9" s="13">
        <f>Table1367[[#This Row],[Cumulative Revenue Actuals]]-Table1367[[#This Row],[Cumulative Revenue Budget]]</f>
        <v>-16556</v>
      </c>
      <c r="K9" s="14">
        <f>(Table1367[[#This Row],[Cumulative Revenue Variance]]/Table1367[[#This Row],[Cumulative Revenue Budget]])*100</f>
        <v>-4.4919432076859005</v>
      </c>
      <c r="L9" s="13">
        <v>561921</v>
      </c>
      <c r="M9" s="13">
        <f>Table1367[[#This Row],[Revenue Total Budget 2026]]-Table1367[[#This Row],[Cumulative Revenue Actuals]]</f>
        <v>209906</v>
      </c>
      <c r="N9" s="14">
        <f>(Table1367[[#This Row],[Revenue To Be Achieved ]]/Table1367[[#This Row],[Revenue Total Budget 2026]])*100</f>
        <v>37.355073044075596</v>
      </c>
      <c r="O9" s="15">
        <f>Table1367[[#This Row],[Cumulative Expenses Budget]]-S8</f>
        <v>9642</v>
      </c>
      <c r="P9" s="15">
        <f>Table1367[[#This Row],[Cumulative Expenses Actuals]]-T8</f>
        <v>6784</v>
      </c>
      <c r="Q9" s="15">
        <f>Table1367[[#This Row],[Monthly Expenses Budget]]-Table1367[[#This Row],[Monthly Expenses Actuals]]</f>
        <v>2858</v>
      </c>
      <c r="R9" s="16">
        <f>(Table1367[[#This Row],[Monthly Expenses Variance]]/Table1367[[#This Row],[Monthly Expenses Budget]])*100</f>
        <v>29.641153287699645</v>
      </c>
      <c r="S9" s="15">
        <v>165937</v>
      </c>
      <c r="T9" s="15">
        <v>158692</v>
      </c>
      <c r="U9" s="15">
        <f>Table1367[[#This Row],[Cumulative Expenses Budget]]-Table1367[[#This Row],[Cumulative Expenses Actuals]]</f>
        <v>7245</v>
      </c>
      <c r="V9" s="16">
        <f>(Table1367[[#This Row],[Cumulative Expenses Variance]]/Table1367[[#This Row],[Cumulative Expenses Budget]])*100</f>
        <v>4.3661148508168761</v>
      </c>
      <c r="W9" s="15">
        <v>241229</v>
      </c>
      <c r="X9" s="15">
        <f>Table1367[[#This Row],[Expenses Total Budget 2026]]-Table1367[[#This Row],[Cumulative Expenses Actuals]]</f>
        <v>82537</v>
      </c>
      <c r="Y9" s="16">
        <f>(Table1367[[#This Row],[Expenses To Be Achieved ]]/Table1367[[#This Row],[Expenses Total Budget 2026]])*100</f>
        <v>34.215206297750271</v>
      </c>
      <c r="Z9" s="38">
        <f>Table1367[[#This Row],[Cumulative Contribution Budget]]-AD8</f>
        <v>6111</v>
      </c>
      <c r="AA9" s="38">
        <f>Table1367[[#This Row],[Cumulative Contribution Actuals]]-AE8</f>
        <v>-1908</v>
      </c>
      <c r="AB9" s="38">
        <f>Table1367[[#This Row],[Monthly Contribution Actuals]]-Table1367[[#This Row],[Monthly Contribution Budget]]</f>
        <v>-8019</v>
      </c>
      <c r="AC9" s="38">
        <f>(Table1367[[#This Row],[Monthly Contribution Variance]]/Table1367[[#This Row],[Monthly Contribution Budget]])*100</f>
        <v>-131.22238586156112</v>
      </c>
      <c r="AD9" s="38">
        <v>202634</v>
      </c>
      <c r="AE9" s="38">
        <v>193322</v>
      </c>
      <c r="AF9" s="38">
        <f>Table1367[[#This Row],[Cumulative Contribution Actuals]]-Table1367[[#This Row],[Cumulative Contribution Budget]]</f>
        <v>-9312</v>
      </c>
      <c r="AG9" s="39">
        <f>(Table1367[[#This Row],[Cumulative Contribution Variance]]/Table1367[[#This Row],[Cumulative Contribution Budget]])*100</f>
        <v>-4.5954775605278479</v>
      </c>
      <c r="AH9" s="38">
        <v>320692</v>
      </c>
      <c r="AI9" s="38">
        <f>Table1367[[#This Row],[Contribution Total Budget 2026]]-Table1367[[#This Row],[Cumulative Contribution Actuals]]</f>
        <v>127370</v>
      </c>
      <c r="AJ9" s="40">
        <f>(Table1367[[#This Row],[Contribution To Be Achieved ]]/Table1367[[#This Row],[Contribution Total Budget 2026]])*100</f>
        <v>39.717236476120391</v>
      </c>
    </row>
    <row r="10" spans="1:36" x14ac:dyDescent="0.25">
      <c r="A10" s="10" t="s">
        <v>62</v>
      </c>
      <c r="B10" s="11">
        <v>2026</v>
      </c>
      <c r="C10" s="11" t="s">
        <v>11</v>
      </c>
      <c r="D10" s="13"/>
      <c r="E10" s="13"/>
      <c r="F10" s="13"/>
      <c r="G10" s="14"/>
      <c r="H10" s="13"/>
      <c r="I10" s="13"/>
      <c r="J10" s="13"/>
      <c r="K10" s="14"/>
      <c r="L10" s="13"/>
      <c r="M10" s="13"/>
      <c r="N10" s="14"/>
      <c r="O10" s="15"/>
      <c r="P10" s="15"/>
      <c r="Q10" s="15"/>
      <c r="R10" s="16"/>
      <c r="S10" s="15"/>
      <c r="T10" s="15"/>
      <c r="U10" s="15"/>
      <c r="V10" s="16"/>
      <c r="W10" s="15"/>
      <c r="X10" s="15"/>
      <c r="Y10" s="16"/>
      <c r="Z10" s="38"/>
      <c r="AA10" s="38"/>
      <c r="AB10" s="38"/>
      <c r="AC10" s="39"/>
      <c r="AD10" s="38"/>
      <c r="AE10" s="38"/>
      <c r="AF10" s="38"/>
      <c r="AG10" s="39"/>
      <c r="AH10" s="38"/>
      <c r="AI10" s="38"/>
      <c r="AJ10" s="40"/>
    </row>
    <row r="11" spans="1:36" x14ac:dyDescent="0.25">
      <c r="A11" s="10" t="s">
        <v>62</v>
      </c>
      <c r="B11" s="11">
        <v>2026</v>
      </c>
      <c r="C11" s="22" t="s">
        <v>12</v>
      </c>
      <c r="D11" s="13"/>
      <c r="E11" s="13"/>
      <c r="F11" s="13"/>
      <c r="G11" s="14"/>
      <c r="H11" s="13"/>
      <c r="I11" s="13"/>
      <c r="J11" s="13"/>
      <c r="K11" s="14"/>
      <c r="L11" s="13"/>
      <c r="M11" s="13"/>
      <c r="N11" s="14"/>
      <c r="O11" s="15"/>
      <c r="P11" s="15"/>
      <c r="Q11" s="15"/>
      <c r="R11" s="16"/>
      <c r="S11" s="15"/>
      <c r="T11" s="15"/>
      <c r="U11" s="15"/>
      <c r="V11" s="16"/>
      <c r="W11" s="15"/>
      <c r="X11" s="15"/>
      <c r="Y11" s="16"/>
      <c r="Z11" s="38"/>
      <c r="AA11" s="38"/>
      <c r="AB11" s="38"/>
      <c r="AC11" s="39"/>
      <c r="AD11" s="38"/>
      <c r="AE11" s="38"/>
      <c r="AF11" s="38"/>
      <c r="AG11" s="39"/>
      <c r="AH11" s="38"/>
      <c r="AI11" s="38"/>
      <c r="AJ11" s="40"/>
    </row>
    <row r="12" spans="1:36" x14ac:dyDescent="0.25">
      <c r="A12" s="10" t="s">
        <v>62</v>
      </c>
      <c r="B12" s="11">
        <v>2026</v>
      </c>
      <c r="C12" s="11" t="s">
        <v>13</v>
      </c>
      <c r="D12" s="13"/>
      <c r="E12" s="13"/>
      <c r="F12" s="13"/>
      <c r="G12" s="14"/>
      <c r="H12" s="13"/>
      <c r="I12" s="13"/>
      <c r="J12" s="13"/>
      <c r="K12" s="14"/>
      <c r="L12" s="13"/>
      <c r="M12" s="13"/>
      <c r="N12" s="14"/>
      <c r="O12" s="15"/>
      <c r="P12" s="15"/>
      <c r="Q12" s="15"/>
      <c r="R12" s="16"/>
      <c r="S12" s="15"/>
      <c r="T12" s="15"/>
      <c r="U12" s="15"/>
      <c r="V12" s="16"/>
      <c r="W12" s="15"/>
      <c r="X12" s="15"/>
      <c r="Y12" s="16"/>
      <c r="Z12" s="38"/>
      <c r="AA12" s="38"/>
      <c r="AB12" s="38"/>
      <c r="AC12" s="39"/>
      <c r="AD12" s="38"/>
      <c r="AE12" s="38"/>
      <c r="AF12" s="38"/>
      <c r="AG12" s="39"/>
      <c r="AH12" s="38"/>
      <c r="AI12" s="38"/>
      <c r="AJ12" s="40"/>
    </row>
    <row r="13" spans="1:36" x14ac:dyDescent="0.25">
      <c r="A13" s="23" t="s">
        <v>62</v>
      </c>
      <c r="B13" s="42">
        <v>2026</v>
      </c>
      <c r="C13" s="24" t="s">
        <v>14</v>
      </c>
      <c r="D13" s="25"/>
      <c r="E13" s="25"/>
      <c r="F13" s="25"/>
      <c r="G13" s="26"/>
      <c r="H13" s="25"/>
      <c r="I13" s="25"/>
      <c r="J13" s="25"/>
      <c r="K13" s="26"/>
      <c r="L13" s="25"/>
      <c r="M13" s="25"/>
      <c r="N13" s="26"/>
      <c r="O13" s="27"/>
      <c r="P13" s="27"/>
      <c r="Q13" s="27"/>
      <c r="R13" s="28"/>
      <c r="S13" s="27"/>
      <c r="T13" s="27"/>
      <c r="U13" s="27"/>
      <c r="V13" s="28"/>
      <c r="W13" s="27"/>
      <c r="X13" s="27"/>
      <c r="Y13" s="28"/>
      <c r="Z13" s="43"/>
      <c r="AA13" s="43"/>
      <c r="AB13" s="43"/>
      <c r="AC13" s="44"/>
      <c r="AD13" s="43"/>
      <c r="AE13" s="43"/>
      <c r="AF13" s="43"/>
      <c r="AG13" s="44"/>
      <c r="AH13" s="43"/>
      <c r="AI13" s="43"/>
      <c r="AJ13" s="4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C227-5253-4799-8E0F-B01E38B333AC}">
  <sheetPr codeName="Sheet10"/>
  <dimension ref="A1:AJ13"/>
  <sheetViews>
    <sheetView zoomScale="115" zoomScaleNormal="115" workbookViewId="0">
      <selection activeCell="I31" sqref="I31"/>
    </sheetView>
  </sheetViews>
  <sheetFormatPr defaultRowHeight="15" x14ac:dyDescent="0.25"/>
  <cols>
    <col min="1" max="1" width="18.85546875" customWidth="1"/>
    <col min="2" max="2" width="7.140625" customWidth="1"/>
    <col min="4" max="4" width="22.140625" customWidth="1"/>
    <col min="5" max="5" width="22.5703125" customWidth="1"/>
    <col min="6" max="6" width="23.5703125" customWidth="1"/>
    <col min="7" max="7" width="25.42578125" customWidth="1"/>
    <col min="8" max="8" width="25.140625" customWidth="1"/>
    <col min="9" max="9" width="24.5703125" customWidth="1"/>
    <col min="10" max="10" width="26.42578125" customWidth="1"/>
    <col min="11" max="11" width="28.28515625" customWidth="1"/>
    <col min="12" max="12" width="23.85546875" customWidth="1"/>
    <col min="13" max="13" width="22" customWidth="1"/>
    <col min="14" max="14" width="23.140625" customWidth="1"/>
    <col min="15" max="15" width="22.85546875" customWidth="1"/>
    <col min="16" max="16" width="23.42578125" customWidth="1"/>
    <col min="17" max="17" width="24.42578125" customWidth="1"/>
    <col min="18" max="18" width="26.140625" customWidth="1"/>
    <col min="19" max="19" width="25.85546875" customWidth="1"/>
    <col min="20" max="20" width="25.42578125" customWidth="1"/>
    <col min="21" max="21" width="27.28515625" customWidth="1"/>
    <col min="22" max="22" width="29.140625" customWidth="1"/>
    <col min="23" max="23" width="24.7109375" customWidth="1"/>
    <col min="24" max="24" width="22.85546875" customWidth="1"/>
    <col min="25" max="25" width="23.85546875" customWidth="1"/>
    <col min="26" max="26" width="25.42578125" customWidth="1"/>
    <col min="27" max="27" width="25.85546875" customWidth="1"/>
    <col min="28" max="28" width="26.7109375" customWidth="1"/>
    <col min="29" max="29" width="28.5703125" customWidth="1"/>
    <col min="30" max="30" width="28.28515625" customWidth="1"/>
    <col min="31" max="31" width="27.85546875" customWidth="1"/>
    <col min="32" max="32" width="29.7109375" customWidth="1"/>
    <col min="33" max="33" width="31.5703125" customWidth="1"/>
    <col min="34" max="34" width="27.140625" customWidth="1"/>
    <col min="35" max="35" width="25.28515625" customWidth="1"/>
    <col min="36" max="36" width="26.42578125" customWidth="1"/>
  </cols>
  <sheetData>
    <row r="1" spans="1:36" s="1" customFormat="1" ht="30" x14ac:dyDescent="0.25">
      <c r="A1" s="2" t="s">
        <v>0</v>
      </c>
      <c r="B1" s="3" t="s">
        <v>1</v>
      </c>
      <c r="C1" s="3" t="s">
        <v>2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56</v>
      </c>
      <c r="J1" s="4" t="s">
        <v>21</v>
      </c>
      <c r="K1" s="4" t="s">
        <v>22</v>
      </c>
      <c r="L1" s="4" t="s">
        <v>89</v>
      </c>
      <c r="M1" s="4" t="s">
        <v>23</v>
      </c>
      <c r="N1" s="4" t="s">
        <v>24</v>
      </c>
      <c r="O1" s="5" t="s">
        <v>25</v>
      </c>
      <c r="P1" s="5" t="s">
        <v>26</v>
      </c>
      <c r="Q1" s="5" t="s">
        <v>27</v>
      </c>
      <c r="R1" s="5" t="s">
        <v>28</v>
      </c>
      <c r="S1" s="5" t="s">
        <v>29</v>
      </c>
      <c r="T1" s="5" t="s">
        <v>55</v>
      </c>
      <c r="U1" s="5" t="s">
        <v>30</v>
      </c>
      <c r="V1" s="5" t="s">
        <v>31</v>
      </c>
      <c r="W1" s="5" t="s">
        <v>90</v>
      </c>
      <c r="X1" s="5" t="s">
        <v>32</v>
      </c>
      <c r="Y1" s="5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7" t="s">
        <v>57</v>
      </c>
      <c r="AF1" s="7" t="s">
        <v>39</v>
      </c>
      <c r="AG1" s="7" t="s">
        <v>40</v>
      </c>
      <c r="AH1" s="7" t="s">
        <v>91</v>
      </c>
      <c r="AI1" s="7" t="s">
        <v>41</v>
      </c>
      <c r="AJ1" s="35" t="s">
        <v>42</v>
      </c>
    </row>
    <row r="2" spans="1:36" x14ac:dyDescent="0.25">
      <c r="A2" s="10" t="s">
        <v>63</v>
      </c>
      <c r="B2" s="11">
        <v>2026</v>
      </c>
      <c r="C2" s="12" t="s">
        <v>3</v>
      </c>
      <c r="D2" s="13">
        <v>14988.916666666668</v>
      </c>
      <c r="E2" s="13">
        <v>12406.930340000014</v>
      </c>
      <c r="F2" s="13">
        <f>Table13678[[#This Row],[Monthly Revenue Actuals]]-Table13678[[#This Row],[Monthly Revenue Budget]]</f>
        <v>-2581.9863266666543</v>
      </c>
      <c r="G2" s="14">
        <f>(Table13678[[#This Row],[Monthly Revenue Variance]]/Table13678[[#This Row],[Monthly Revenue Budget]])*100</f>
        <v>-17.225970255800036</v>
      </c>
      <c r="H2" s="13">
        <v>14988.916666666668</v>
      </c>
      <c r="I2" s="13">
        <v>12406.930340000014</v>
      </c>
      <c r="J2" s="13">
        <f>Table13678[[#This Row],[Cumulative Revenue Actuals]]-Table13678[[#This Row],[Cumulative Revenue Budget]]</f>
        <v>-2581.9863266666543</v>
      </c>
      <c r="K2" s="14">
        <f>(Table13678[[#This Row],[Cumulative Revenue Variance]]/Table13678[[#This Row],[Cumulative Revenue Budget]])*100</f>
        <v>-17.225970255800036</v>
      </c>
      <c r="L2" s="13">
        <v>218344</v>
      </c>
      <c r="M2" s="13">
        <f>Table13678[[#This Row],[Revenue Total Budget 2026]]-Table13678[[#This Row],[Cumulative Revenue Actuals]]</f>
        <v>205937.06965999998</v>
      </c>
      <c r="N2" s="14">
        <f>(Table13678[[#This Row],[Revenue To Be Achieved ]]/Table13678[[#This Row],[Revenue Total Budget 2026]])*100</f>
        <v>94.317714093357267</v>
      </c>
      <c r="O2" s="15">
        <v>21998</v>
      </c>
      <c r="P2" s="15">
        <v>22605.247599999999</v>
      </c>
      <c r="Q2" s="15">
        <f>Table13678[[#This Row],[Monthly Expenses Budget]]-Table13678[[#This Row],[Monthly Expenses Actuals]]</f>
        <v>-607.24759999999878</v>
      </c>
      <c r="R2" s="16">
        <f>(Table13678[[#This Row],[Monthly Expenses Variance]]/Table13678[[#This Row],[Monthly Expenses Budget]])*100</f>
        <v>-2.7604673152104682</v>
      </c>
      <c r="S2" s="15">
        <v>21998</v>
      </c>
      <c r="T2" s="15">
        <v>22605.247599999999</v>
      </c>
      <c r="U2" s="15">
        <f>Table13678[[#This Row],[Cumulative Expenses Budget]]-Table13678[[#This Row],[Cumulative Expenses Actuals]]</f>
        <v>-607.24759999999878</v>
      </c>
      <c r="V2" s="16">
        <f>(Table13678[[#This Row],[Cumulative Expenses Variance]]/Table13678[[#This Row],[Cumulative Expenses Budget]])*100</f>
        <v>-2.7604673152104682</v>
      </c>
      <c r="W2" s="15">
        <v>102742</v>
      </c>
      <c r="X2" s="15">
        <f>Table13678[[#This Row],[Expenses Total Budget 2026]]-Table13678[[#This Row],[Cumulative Expenses Actuals]]</f>
        <v>80136.752399999998</v>
      </c>
      <c r="Y2" s="16">
        <f>(Table13678[[#This Row],[Expenses To Be Achieved ]]/Table13678[[#This Row],[Expenses Total Budget 2026]])*100</f>
        <v>77.998045979248985</v>
      </c>
      <c r="Z2" s="38">
        <v>-7009</v>
      </c>
      <c r="AA2" s="38">
        <v>-10198.317259999985</v>
      </c>
      <c r="AB2" s="38">
        <f>Table13678[[#This Row],[Monthly Contribution Actuals]]-Table13678[[#This Row],[Monthly Contribution Budget]]</f>
        <v>-3189.3172599999853</v>
      </c>
      <c r="AC2" s="39">
        <f>-(Table13678[[#This Row],[Monthly Contribution Variance]]/Table13678[[#This Row],[Monthly Contribution Budget]])*100</f>
        <v>-45.503171065772371</v>
      </c>
      <c r="AD2" s="38">
        <v>-7009</v>
      </c>
      <c r="AE2" s="38">
        <v>-10198.317259999985</v>
      </c>
      <c r="AF2" s="38">
        <f>Table13678[[#This Row],[Cumulative Contribution Actuals]]-Table13678[[#This Row],[Cumulative Contribution Budget]]</f>
        <v>-3189.3172599999853</v>
      </c>
      <c r="AG2" s="39">
        <f>-(Table13678[[#This Row],[Cumulative Contribution Variance]]/Table13678[[#This Row],[Cumulative Contribution Budget]])*100</f>
        <v>-45.503171065772371</v>
      </c>
      <c r="AH2" s="38">
        <v>115602</v>
      </c>
      <c r="AI2" s="38">
        <f>Table13678[[#This Row],[Contribution Total Budget 2026]]-Table13678[[#This Row],[Cumulative Contribution Actuals]]</f>
        <v>125800.31725999998</v>
      </c>
      <c r="AJ2" s="40">
        <f>(Table13678[[#This Row],[Contribution To Be Achieved ]]/Table13678[[#This Row],[Contribution Total Budget 2026]])*100</f>
        <v>108.82192112593205</v>
      </c>
    </row>
    <row r="3" spans="1:36" x14ac:dyDescent="0.25">
      <c r="A3" s="10" t="s">
        <v>63</v>
      </c>
      <c r="B3" s="11">
        <v>2026</v>
      </c>
      <c r="C3" s="22" t="s">
        <v>4</v>
      </c>
      <c r="D3" s="13">
        <v>14988.916666666668</v>
      </c>
      <c r="E3" s="13">
        <v>15908.442419999985</v>
      </c>
      <c r="F3" s="13">
        <f>Table13678[[#This Row],[Monthly Revenue Actuals]]-Table13678[[#This Row],[Monthly Revenue Budget]]</f>
        <v>919.52575333331697</v>
      </c>
      <c r="G3" s="14">
        <f>(Table13678[[#This Row],[Monthly Revenue Variance]]/Table13678[[#This Row],[Monthly Revenue Budget]])*100</f>
        <v>6.1347045539202876</v>
      </c>
      <c r="H3" s="13">
        <v>29977.833333333336</v>
      </c>
      <c r="I3" s="13">
        <v>28315.372759999998</v>
      </c>
      <c r="J3" s="13">
        <f>Table13678[[#This Row],[Cumulative Revenue Actuals]]-Table13678[[#This Row],[Cumulative Revenue Budget]]</f>
        <v>-1662.4605733333374</v>
      </c>
      <c r="K3" s="14">
        <f>(Table13678[[#This Row],[Cumulative Revenue Variance]]/Table13678[[#This Row],[Cumulative Revenue Budget]])*100</f>
        <v>-5.5456328509398745</v>
      </c>
      <c r="L3" s="13">
        <v>218344</v>
      </c>
      <c r="M3" s="13">
        <f>Table13678[[#This Row],[Revenue Total Budget 2026]]-Table13678[[#This Row],[Cumulative Revenue Actuals]]</f>
        <v>190028.62724</v>
      </c>
      <c r="N3" s="14">
        <f>(Table13678[[#This Row],[Revenue To Be Achieved ]]/Table13678[[#This Row],[Revenue Total Budget 2026]])*100</f>
        <v>87.031760542996366</v>
      </c>
      <c r="O3" s="15">
        <v>4989</v>
      </c>
      <c r="P3" s="15">
        <v>6440.7524000000012</v>
      </c>
      <c r="Q3" s="15">
        <f>Table13678[[#This Row],[Monthly Expenses Budget]]-Table13678[[#This Row],[Monthly Expenses Actuals]]</f>
        <v>-1451.7524000000012</v>
      </c>
      <c r="R3" s="16">
        <f>(Table13678[[#This Row],[Monthly Expenses Variance]]/Table13678[[#This Row],[Monthly Expenses Budget]])*100</f>
        <v>-29.0990659450792</v>
      </c>
      <c r="S3" s="15">
        <v>26987</v>
      </c>
      <c r="T3" s="15">
        <v>29046</v>
      </c>
      <c r="U3" s="15">
        <f>Table13678[[#This Row],[Cumulative Expenses Budget]]-Table13678[[#This Row],[Cumulative Expenses Actuals]]</f>
        <v>-2059</v>
      </c>
      <c r="V3" s="16">
        <f>(Table13678[[#This Row],[Cumulative Expenses Variance]]/Table13678[[#This Row],[Cumulative Expenses Budget]])*100</f>
        <v>-7.6295994367658508</v>
      </c>
      <c r="W3" s="15">
        <v>102742</v>
      </c>
      <c r="X3" s="15">
        <f>Table13678[[#This Row],[Expenses Total Budget 2026]]-Table13678[[#This Row],[Cumulative Expenses Actuals]]</f>
        <v>73696</v>
      </c>
      <c r="Y3" s="16">
        <f>(Table13678[[#This Row],[Expenses To Be Achieved ]]/Table13678[[#This Row],[Expenses Total Budget 2026]])*100</f>
        <v>71.729185727355897</v>
      </c>
      <c r="Z3" s="38">
        <v>9999</v>
      </c>
      <c r="AA3" s="38">
        <v>9467.3172599999853</v>
      </c>
      <c r="AB3" s="38">
        <f>Table13678[[#This Row],[Monthly Contribution Actuals]]-Table13678[[#This Row],[Monthly Contribution Budget]]</f>
        <v>-531.68274000001475</v>
      </c>
      <c r="AC3" s="39">
        <f>(Table13678[[#This Row],[Monthly Contribution Variance]]/Table13678[[#This Row],[Monthly Contribution Budget]])*100</f>
        <v>-5.3173591359137387</v>
      </c>
      <c r="AD3" s="38">
        <v>2990</v>
      </c>
      <c r="AE3" s="38">
        <v>-731</v>
      </c>
      <c r="AF3" s="38">
        <f>Table13678[[#This Row],[Cumulative Contribution Actuals]]-Table13678[[#This Row],[Cumulative Contribution Budget]]</f>
        <v>-3721</v>
      </c>
      <c r="AG3" s="39">
        <f>(Table13678[[#This Row],[Cumulative Contribution Variance]]/Table13678[[#This Row],[Cumulative Contribution Budget]])*100</f>
        <v>-124.44816053511704</v>
      </c>
      <c r="AH3" s="38">
        <v>115602</v>
      </c>
      <c r="AI3" s="38">
        <f>Table13678[[#This Row],[Contribution Total Budget 2026]]-Table13678[[#This Row],[Cumulative Contribution Actuals]]</f>
        <v>116333</v>
      </c>
      <c r="AJ3" s="40">
        <f>(Table13678[[#This Row],[Contribution To Be Achieved ]]/Table13678[[#This Row],[Contribution Total Budget 2026]])*100</f>
        <v>100.63234200100344</v>
      </c>
    </row>
    <row r="4" spans="1:36" x14ac:dyDescent="0.25">
      <c r="A4" s="10" t="s">
        <v>63</v>
      </c>
      <c r="B4" s="11">
        <v>2026</v>
      </c>
      <c r="C4" s="11" t="s">
        <v>5</v>
      </c>
      <c r="D4" s="13">
        <v>14989.166666666664</v>
      </c>
      <c r="E4" s="13">
        <v>16216.627240000002</v>
      </c>
      <c r="F4" s="13">
        <f>Table13678[[#This Row],[Monthly Revenue Actuals]]-Table13678[[#This Row],[Monthly Revenue Budget]]</f>
        <v>1227.4605733333374</v>
      </c>
      <c r="G4" s="14">
        <f>(Table13678[[#This Row],[Monthly Revenue Variance]]/Table13678[[#This Row],[Monthly Revenue Budget]])*100</f>
        <v>8.1889847556568913</v>
      </c>
      <c r="H4" s="13">
        <v>44967</v>
      </c>
      <c r="I4" s="13">
        <v>44532</v>
      </c>
      <c r="J4" s="13">
        <f>Table13678[[#This Row],[Cumulative Revenue Actuals]]-Table13678[[#This Row],[Cumulative Revenue Budget]]</f>
        <v>-435</v>
      </c>
      <c r="K4" s="14">
        <f>(Table13678[[#This Row],[Cumulative Revenue Variance]]/Table13678[[#This Row],[Cumulative Revenue Budget]])*100</f>
        <v>-0.96737607578891194</v>
      </c>
      <c r="L4" s="13">
        <v>218344</v>
      </c>
      <c r="M4" s="13">
        <f>Table13678[[#This Row],[Revenue Total Budget 2026]]-Table13678[[#This Row],[Cumulative Revenue Actuals]]</f>
        <v>173812</v>
      </c>
      <c r="N4" s="14">
        <f>(Table13678[[#This Row],[Revenue To Be Achieved ]]/Table13678[[#This Row],[Revenue Total Budget 2026]])*100</f>
        <v>79.604660535668486</v>
      </c>
      <c r="O4" s="15">
        <v>4990</v>
      </c>
      <c r="P4" s="15">
        <v>-1540</v>
      </c>
      <c r="Q4" s="15">
        <f>Table13678[[#This Row],[Monthly Expenses Budget]]-Table13678[[#This Row],[Monthly Expenses Actuals]]</f>
        <v>6530</v>
      </c>
      <c r="R4" s="16">
        <f>(Table13678[[#This Row],[Monthly Expenses Variance]]/Table13678[[#This Row],[Monthly Expenses Budget]])*100</f>
        <v>130.86172344689379</v>
      </c>
      <c r="S4" s="15">
        <v>31977</v>
      </c>
      <c r="T4" s="15">
        <v>27506</v>
      </c>
      <c r="U4" s="15">
        <f>Table13678[[#This Row],[Cumulative Expenses Budget]]-Table13678[[#This Row],[Cumulative Expenses Actuals]]</f>
        <v>4471</v>
      </c>
      <c r="V4" s="16">
        <f>(Table13678[[#This Row],[Cumulative Expenses Variance]]/Table13678[[#This Row],[Cumulative Expenses Budget]])*100</f>
        <v>13.981924508240299</v>
      </c>
      <c r="W4" s="15">
        <v>102742</v>
      </c>
      <c r="X4" s="15">
        <f>Table13678[[#This Row],[Expenses Total Budget 2026]]-Table13678[[#This Row],[Cumulative Expenses Actuals]]</f>
        <v>75236</v>
      </c>
      <c r="Y4" s="16">
        <f>(Table13678[[#This Row],[Expenses To Be Achieved ]]/Table13678[[#This Row],[Expenses Total Budget 2026]])*100</f>
        <v>73.228085885032414</v>
      </c>
      <c r="Z4" s="38">
        <v>10000</v>
      </c>
      <c r="AA4" s="38">
        <v>17757</v>
      </c>
      <c r="AB4" s="38">
        <f>Table13678[[#This Row],[Monthly Contribution Actuals]]-Table13678[[#This Row],[Monthly Contribution Budget]]</f>
        <v>7757</v>
      </c>
      <c r="AC4" s="39">
        <f>(Table13678[[#This Row],[Monthly Contribution Variance]]/Table13678[[#This Row],[Monthly Contribution Budget]])*100</f>
        <v>77.569999999999993</v>
      </c>
      <c r="AD4" s="38">
        <v>12990</v>
      </c>
      <c r="AE4" s="38">
        <v>17026</v>
      </c>
      <c r="AF4" s="38">
        <f>Table13678[[#This Row],[Cumulative Contribution Actuals]]-Table13678[[#This Row],[Cumulative Contribution Budget]]</f>
        <v>4036</v>
      </c>
      <c r="AG4" s="39">
        <f>(Table13678[[#This Row],[Cumulative Contribution Variance]]/Table13678[[#This Row],[Cumulative Contribution Budget]])*100</f>
        <v>31.070053887605852</v>
      </c>
      <c r="AH4" s="38">
        <v>115602</v>
      </c>
      <c r="AI4" s="38">
        <f>Table13678[[#This Row],[Contribution Total Budget 2026]]-Table13678[[#This Row],[Cumulative Contribution Actuals]]</f>
        <v>98576</v>
      </c>
      <c r="AJ4" s="40">
        <f>(Table13678[[#This Row],[Contribution To Be Achieved ]]/Table13678[[#This Row],[Contribution Total Budget 2026]])*100</f>
        <v>85.27188110932336</v>
      </c>
    </row>
    <row r="5" spans="1:36" x14ac:dyDescent="0.25">
      <c r="A5" s="10" t="s">
        <v>63</v>
      </c>
      <c r="B5" s="11">
        <v>2026</v>
      </c>
      <c r="C5" s="22" t="s">
        <v>6</v>
      </c>
      <c r="D5" s="13">
        <v>17356</v>
      </c>
      <c r="E5" s="13">
        <v>18827</v>
      </c>
      <c r="F5" s="13">
        <f>Table13678[[#This Row],[Monthly Revenue Actuals]]-Table13678[[#This Row],[Monthly Revenue Budget]]</f>
        <v>1471</v>
      </c>
      <c r="G5" s="14">
        <f>(Table13678[[#This Row],[Monthly Revenue Variance]]/Table13678[[#This Row],[Monthly Revenue Budget]])*100</f>
        <v>8.4754551740032262</v>
      </c>
      <c r="H5" s="13">
        <v>62323</v>
      </c>
      <c r="I5" s="13">
        <v>63359</v>
      </c>
      <c r="J5" s="13">
        <f>Table13678[[#This Row],[Cumulative Revenue Actuals]]-Table13678[[#This Row],[Cumulative Revenue Budget]]</f>
        <v>1036</v>
      </c>
      <c r="K5" s="14">
        <f>(Table13678[[#This Row],[Cumulative Revenue Variance]]/Table13678[[#This Row],[Cumulative Revenue Budget]])*100</f>
        <v>1.6623076552797524</v>
      </c>
      <c r="L5" s="13">
        <v>218344</v>
      </c>
      <c r="M5" s="13">
        <f>Table13678[[#This Row],[Revenue Total Budget 2026]]-Table13678[[#This Row],[Cumulative Revenue Actuals]]</f>
        <v>154985</v>
      </c>
      <c r="N5" s="14">
        <f>(Table13678[[#This Row],[Revenue To Be Achieved ]]/Table13678[[#This Row],[Revenue Total Budget 2026]])*100</f>
        <v>70.982028358919862</v>
      </c>
      <c r="O5" s="15">
        <v>8430</v>
      </c>
      <c r="P5" s="15">
        <v>1393</v>
      </c>
      <c r="Q5" s="15">
        <f>Table13678[[#This Row],[Monthly Expenses Budget]]-Table13678[[#This Row],[Monthly Expenses Actuals]]</f>
        <v>7037</v>
      </c>
      <c r="R5" s="16">
        <f>(Table13678[[#This Row],[Monthly Expenses Variance]]/Table13678[[#This Row],[Monthly Expenses Budget]])*100</f>
        <v>83.475682087781735</v>
      </c>
      <c r="S5" s="15">
        <v>40407</v>
      </c>
      <c r="T5" s="15">
        <v>28899</v>
      </c>
      <c r="U5" s="15">
        <f>Table13678[[#This Row],[Cumulative Expenses Budget]]-Table13678[[#This Row],[Cumulative Expenses Actuals]]</f>
        <v>11508</v>
      </c>
      <c r="V5" s="16">
        <f>(Table13678[[#This Row],[Cumulative Expenses Variance]]/Table13678[[#This Row],[Cumulative Expenses Budget]])*100</f>
        <v>28.480213824337369</v>
      </c>
      <c r="W5" s="15">
        <v>102742</v>
      </c>
      <c r="X5" s="15">
        <f>Table13678[[#This Row],[Expenses Total Budget 2026]]-Table13678[[#This Row],[Cumulative Expenses Actuals]]</f>
        <v>73843</v>
      </c>
      <c r="Y5" s="16">
        <f>(Table13678[[#This Row],[Expenses To Be Achieved ]]/Table13678[[#This Row],[Expenses Total Budget 2026]])*100</f>
        <v>71.872262560588666</v>
      </c>
      <c r="Z5" s="38">
        <v>8925</v>
      </c>
      <c r="AA5" s="38">
        <v>17434</v>
      </c>
      <c r="AB5" s="38">
        <f>Table13678[[#This Row],[Monthly Contribution Actuals]]-Table13678[[#This Row],[Monthly Contribution Budget]]</f>
        <v>8509</v>
      </c>
      <c r="AC5" s="39">
        <f>(Table13678[[#This Row],[Monthly Contribution Variance]]/Table13678[[#This Row],[Monthly Contribution Budget]])*100</f>
        <v>95.338935574229694</v>
      </c>
      <c r="AD5" s="38">
        <v>21915</v>
      </c>
      <c r="AE5" s="38">
        <v>34460</v>
      </c>
      <c r="AF5" s="38">
        <f>Table13678[[#This Row],[Cumulative Contribution Actuals]]-Table13678[[#This Row],[Cumulative Contribution Budget]]</f>
        <v>12545</v>
      </c>
      <c r="AG5" s="39">
        <f>(Table13678[[#This Row],[Cumulative Contribution Variance]]/Table13678[[#This Row],[Cumulative Contribution Budget]])*100</f>
        <v>57.243896874287017</v>
      </c>
      <c r="AH5" s="38">
        <v>115602</v>
      </c>
      <c r="AI5" s="38">
        <f>Table13678[[#This Row],[Contribution Total Budget 2026]]-Table13678[[#This Row],[Cumulative Contribution Actuals]]</f>
        <v>81142</v>
      </c>
      <c r="AJ5" s="40">
        <f>(Table13678[[#This Row],[Contribution To Be Achieved ]]/Table13678[[#This Row],[Contribution Total Budget 2026]])*100</f>
        <v>70.190827148319229</v>
      </c>
    </row>
    <row r="6" spans="1:36" x14ac:dyDescent="0.25">
      <c r="A6" s="10" t="s">
        <v>63</v>
      </c>
      <c r="B6" s="11">
        <v>2026</v>
      </c>
      <c r="C6" s="11" t="s">
        <v>7</v>
      </c>
      <c r="D6" s="13">
        <v>17521</v>
      </c>
      <c r="E6" s="13">
        <v>14837</v>
      </c>
      <c r="F6" s="13">
        <f>Table13678[[#This Row],[Monthly Revenue Actuals]]-Table13678[[#This Row],[Monthly Revenue Budget]]</f>
        <v>-2684</v>
      </c>
      <c r="G6" s="14">
        <f>(Table13678[[#This Row],[Monthly Revenue Variance]]/Table13678[[#This Row],[Monthly Revenue Budget]])*100</f>
        <v>-15.318760344729181</v>
      </c>
      <c r="H6" s="13">
        <v>79844</v>
      </c>
      <c r="I6" s="13">
        <v>78196</v>
      </c>
      <c r="J6" s="13">
        <f>Table13678[[#This Row],[Cumulative Revenue Actuals]]-Table13678[[#This Row],[Cumulative Revenue Budget]]</f>
        <v>-1648</v>
      </c>
      <c r="K6" s="14">
        <f>(Table13678[[#This Row],[Cumulative Revenue Variance]]/Table13678[[#This Row],[Cumulative Revenue Budget]])*100</f>
        <v>-2.0640248484544861</v>
      </c>
      <c r="L6" s="13">
        <v>218344</v>
      </c>
      <c r="M6" s="13">
        <f>Table13678[[#This Row],[Revenue Total Budget 2026]]-Table13678[[#This Row],[Cumulative Revenue Actuals]]</f>
        <v>140148</v>
      </c>
      <c r="N6" s="14">
        <f>(Table13678[[#This Row],[Revenue To Be Achieved ]]/Table13678[[#This Row],[Revenue Total Budget 2026]])*100</f>
        <v>64.186787821053017</v>
      </c>
      <c r="O6" s="15">
        <v>5201</v>
      </c>
      <c r="P6" s="15">
        <v>5025</v>
      </c>
      <c r="Q6" s="15">
        <f>Table13678[[#This Row],[Monthly Expenses Budget]]-Table13678[[#This Row],[Monthly Expenses Actuals]]</f>
        <v>176</v>
      </c>
      <c r="R6" s="16">
        <f>(Table13678[[#This Row],[Monthly Expenses Variance]]/Table13678[[#This Row],[Monthly Expenses Budget]])*100</f>
        <v>3.3839646221880413</v>
      </c>
      <c r="S6" s="15">
        <v>45608</v>
      </c>
      <c r="T6" s="15">
        <v>33924</v>
      </c>
      <c r="U6" s="15">
        <f>Table13678[[#This Row],[Cumulative Expenses Budget]]-Table13678[[#This Row],[Cumulative Expenses Actuals]]</f>
        <v>11684</v>
      </c>
      <c r="V6" s="16">
        <f>(Table13678[[#This Row],[Cumulative Expenses Variance]]/Table13678[[#This Row],[Cumulative Expenses Budget]])*100</f>
        <v>25.618312576740919</v>
      </c>
      <c r="W6" s="15">
        <v>102742</v>
      </c>
      <c r="X6" s="15">
        <f>Table13678[[#This Row],[Expenses Total Budget 2026]]-Table13678[[#This Row],[Cumulative Expenses Actuals]]</f>
        <v>68818</v>
      </c>
      <c r="Y6" s="16">
        <f>(Table13678[[#This Row],[Expenses To Be Achieved ]]/Table13678[[#This Row],[Expenses Total Budget 2026]])*100</f>
        <v>66.98137081232602</v>
      </c>
      <c r="Z6" s="38">
        <v>12321</v>
      </c>
      <c r="AA6" s="38">
        <v>9812</v>
      </c>
      <c r="AB6" s="38">
        <f>Table13678[[#This Row],[Monthly Contribution Actuals]]-Table13678[[#This Row],[Monthly Contribution Budget]]</f>
        <v>-2509</v>
      </c>
      <c r="AC6" s="39">
        <f>(Table13678[[#This Row],[Monthly Contribution Variance]]/Table13678[[#This Row],[Monthly Contribution Budget]])*100</f>
        <v>-20.363606850093337</v>
      </c>
      <c r="AD6" s="38">
        <v>34236</v>
      </c>
      <c r="AE6" s="38">
        <v>44272</v>
      </c>
      <c r="AF6" s="38">
        <f>Table13678[[#This Row],[Cumulative Contribution Actuals]]-Table13678[[#This Row],[Cumulative Contribution Budget]]</f>
        <v>10036</v>
      </c>
      <c r="AG6" s="39">
        <f>(Table13678[[#This Row],[Cumulative Contribution Variance]]/Table13678[[#This Row],[Cumulative Contribution Budget]])*100</f>
        <v>29.31417221638042</v>
      </c>
      <c r="AH6" s="38">
        <v>115602</v>
      </c>
      <c r="AI6" s="38">
        <f>Table13678[[#This Row],[Contribution Total Budget 2026]]-Table13678[[#This Row],[Cumulative Contribution Actuals]]</f>
        <v>71330</v>
      </c>
      <c r="AJ6" s="40">
        <f>(Table13678[[#This Row],[Contribution To Be Achieved ]]/Table13678[[#This Row],[Contribution Total Budget 2026]])*100</f>
        <v>61.703084721717616</v>
      </c>
    </row>
    <row r="7" spans="1:36" x14ac:dyDescent="0.25">
      <c r="A7" s="10" t="s">
        <v>63</v>
      </c>
      <c r="B7" s="11">
        <v>2026</v>
      </c>
      <c r="C7" s="22" t="s">
        <v>8</v>
      </c>
      <c r="D7" s="13">
        <v>22442</v>
      </c>
      <c r="E7" s="13">
        <v>14290</v>
      </c>
      <c r="F7" s="13">
        <f>Table13678[[#This Row],[Monthly Revenue Actuals]]-Table13678[[#This Row],[Monthly Revenue Budget]]</f>
        <v>-8152</v>
      </c>
      <c r="G7" s="14">
        <f>(Table13678[[#This Row],[Monthly Revenue Variance]]/Table13678[[#This Row],[Monthly Revenue Budget]])*100</f>
        <v>-36.324748239907315</v>
      </c>
      <c r="H7" s="13">
        <v>102286</v>
      </c>
      <c r="I7" s="13">
        <v>92486</v>
      </c>
      <c r="J7" s="13">
        <f>Table13678[[#This Row],[Cumulative Revenue Actuals]]-Table13678[[#This Row],[Cumulative Revenue Budget]]</f>
        <v>-9800</v>
      </c>
      <c r="K7" s="14">
        <f>(Table13678[[#This Row],[Cumulative Revenue Variance]]/Table13678[[#This Row],[Cumulative Revenue Budget]])*100</f>
        <v>-9.5809788240814964</v>
      </c>
      <c r="L7" s="13">
        <v>218344</v>
      </c>
      <c r="M7" s="13">
        <f>Table13678[[#This Row],[Revenue Total Budget 2026]]-Table13678[[#This Row],[Cumulative Revenue Actuals]]</f>
        <v>125858</v>
      </c>
      <c r="N7" s="14">
        <f>(Table13678[[#This Row],[Revenue To Be Achieved ]]/Table13678[[#This Row],[Revenue Total Budget 2026]])*100</f>
        <v>57.642069395082984</v>
      </c>
      <c r="O7" s="15">
        <v>5089</v>
      </c>
      <c r="P7" s="15">
        <v>5052</v>
      </c>
      <c r="Q7" s="15">
        <f>Table13678[[#This Row],[Monthly Expenses Budget]]-Table13678[[#This Row],[Monthly Expenses Actuals]]</f>
        <v>37</v>
      </c>
      <c r="R7" s="16">
        <f>(Table13678[[#This Row],[Monthly Expenses Variance]]/Table13678[[#This Row],[Monthly Expenses Budget]])*100</f>
        <v>0.72705836117115341</v>
      </c>
      <c r="S7" s="15">
        <v>50697</v>
      </c>
      <c r="T7" s="15">
        <v>38976</v>
      </c>
      <c r="U7" s="15">
        <f>Table13678[[#This Row],[Cumulative Expenses Budget]]-Table13678[[#This Row],[Cumulative Expenses Actuals]]</f>
        <v>11721</v>
      </c>
      <c r="V7" s="16">
        <f>(Table13678[[#This Row],[Cumulative Expenses Variance]]/Table13678[[#This Row],[Cumulative Expenses Budget]])*100</f>
        <v>23.119711225516305</v>
      </c>
      <c r="W7" s="15">
        <v>102742</v>
      </c>
      <c r="X7" s="15">
        <f>Table13678[[#This Row],[Expenses Total Budget 2026]]-Table13678[[#This Row],[Cumulative Expenses Actuals]]</f>
        <v>63766</v>
      </c>
      <c r="Y7" s="16">
        <f>(Table13678[[#This Row],[Expenses To Be Achieved ]]/Table13678[[#This Row],[Expenses Total Budget 2026]])*100</f>
        <v>62.06419964571451</v>
      </c>
      <c r="Z7" s="38">
        <v>17353</v>
      </c>
      <c r="AA7" s="38">
        <v>9238</v>
      </c>
      <c r="AB7" s="38">
        <f>Table13678[[#This Row],[Monthly Contribution Actuals]]-Table13678[[#This Row],[Monthly Contribution Budget]]</f>
        <v>-8115</v>
      </c>
      <c r="AC7" s="39">
        <f>(Table13678[[#This Row],[Monthly Contribution Variance]]/Table13678[[#This Row],[Monthly Contribution Budget]])*100</f>
        <v>-46.764248256785571</v>
      </c>
      <c r="AD7" s="38">
        <v>51589</v>
      </c>
      <c r="AE7" s="38">
        <v>53510</v>
      </c>
      <c r="AF7" s="38">
        <f>Table13678[[#This Row],[Cumulative Contribution Actuals]]-Table13678[[#This Row],[Cumulative Contribution Budget]]</f>
        <v>1921</v>
      </c>
      <c r="AG7" s="39">
        <f>(Table13678[[#This Row],[Cumulative Contribution Variance]]/Table13678[[#This Row],[Cumulative Contribution Budget]])*100</f>
        <v>3.723662020973463</v>
      </c>
      <c r="AH7" s="38">
        <v>115602</v>
      </c>
      <c r="AI7" s="38">
        <f>Table13678[[#This Row],[Contribution Total Budget 2026]]-Table13678[[#This Row],[Cumulative Contribution Actuals]]</f>
        <v>62092</v>
      </c>
      <c r="AJ7" s="40">
        <f>(Table13678[[#This Row],[Contribution To Be Achieved ]]/Table13678[[#This Row],[Contribution Total Budget 2026]])*100</f>
        <v>53.711873496998322</v>
      </c>
    </row>
    <row r="8" spans="1:36" x14ac:dyDescent="0.25">
      <c r="A8" s="10" t="s">
        <v>63</v>
      </c>
      <c r="B8" s="11">
        <v>2026</v>
      </c>
      <c r="C8" s="11" t="s">
        <v>9</v>
      </c>
      <c r="D8" s="13">
        <f>Table13678[[#This Row],[Cumulative Revenue Budget]]-H7</f>
        <v>17758</v>
      </c>
      <c r="E8" s="13">
        <f>Table13678[[#This Row],[Cumulative Revenue Actuals]]-I7</f>
        <v>16661</v>
      </c>
      <c r="F8" s="13">
        <f>Table13678[[#This Row],[Monthly Revenue Actuals]]-Table13678[[#This Row],[Monthly Revenue Budget]]</f>
        <v>-1097</v>
      </c>
      <c r="G8" s="14">
        <f>(Table13678[[#This Row],[Monthly Revenue Variance]]/Table13678[[#This Row],[Monthly Revenue Budget]])*100</f>
        <v>-6.1774974659308484</v>
      </c>
      <c r="H8" s="13">
        <v>120044</v>
      </c>
      <c r="I8" s="13">
        <v>109147</v>
      </c>
      <c r="J8" s="13">
        <f>Table13678[[#This Row],[Cumulative Revenue Actuals]]-Table13678[[#This Row],[Cumulative Revenue Budget]]</f>
        <v>-10897</v>
      </c>
      <c r="K8" s="14">
        <f>(Table13678[[#This Row],[Cumulative Revenue Variance]]/Table13678[[#This Row],[Cumulative Revenue Budget]])*100</f>
        <v>-9.0775049148645497</v>
      </c>
      <c r="L8" s="13">
        <v>218344</v>
      </c>
      <c r="M8" s="13">
        <f>Table13678[[#This Row],[Revenue Total Budget 2026]]-Table13678[[#This Row],[Cumulative Revenue Actuals]]</f>
        <v>109197</v>
      </c>
      <c r="N8" s="14">
        <f>(Table13678[[#This Row],[Revenue To Be Achieved ]]/Table13678[[#This Row],[Revenue Total Budget 2026]])*100</f>
        <v>50.011449822298758</v>
      </c>
      <c r="O8" s="15">
        <f>Table13678[[#This Row],[Cumulative Expenses Budget]]-S7</f>
        <v>8245</v>
      </c>
      <c r="P8" s="15">
        <f>Table13678[[#This Row],[Cumulative Expenses Actuals]]-T7</f>
        <v>6338</v>
      </c>
      <c r="Q8" s="15">
        <f>Table13678[[#This Row],[Monthly Expenses Budget]]-Table13678[[#This Row],[Monthly Expenses Actuals]]</f>
        <v>1907</v>
      </c>
      <c r="R8" s="16">
        <f>(Table13678[[#This Row],[Monthly Expenses Variance]]/Table13678[[#This Row],[Monthly Expenses Budget]])*100</f>
        <v>23.129169193450576</v>
      </c>
      <c r="S8" s="15">
        <v>58942</v>
      </c>
      <c r="T8" s="15">
        <v>45314</v>
      </c>
      <c r="U8" s="15">
        <f>Table13678[[#This Row],[Cumulative Expenses Budget]]-Table13678[[#This Row],[Cumulative Expenses Actuals]]</f>
        <v>13628</v>
      </c>
      <c r="V8" s="16">
        <f>(Table13678[[#This Row],[Cumulative Expenses Variance]]/Table13678[[#This Row],[Cumulative Expenses Budget]])*100</f>
        <v>23.12103423704659</v>
      </c>
      <c r="W8" s="15">
        <v>102742</v>
      </c>
      <c r="X8" s="15">
        <f>Table13678[[#This Row],[Expenses Total Budget 2026]]-Table13678[[#This Row],[Cumulative Expenses Actuals]]</f>
        <v>57428</v>
      </c>
      <c r="Y8" s="16">
        <f>(Table13678[[#This Row],[Expenses To Be Achieved ]]/Table13678[[#This Row],[Expenses Total Budget 2026]])*100</f>
        <v>55.895349516264034</v>
      </c>
      <c r="Z8" s="38">
        <f>Table13678[[#This Row],[Cumulative Contribution Budget]]-AD7</f>
        <v>9513</v>
      </c>
      <c r="AA8" s="38">
        <f>Table13678[[#This Row],[Cumulative Contribution Actuals]]-AE7</f>
        <v>10322</v>
      </c>
      <c r="AB8" s="38">
        <f>Table13678[[#This Row],[Monthly Contribution Actuals]]-Table13678[[#This Row],[Monthly Contribution Budget]]</f>
        <v>809</v>
      </c>
      <c r="AC8" s="39">
        <f>(Table13678[[#This Row],[Monthly Contribution Variance]]/Table13678[[#This Row],[Monthly Contribution Budget]])*100</f>
        <v>8.5041522127614844</v>
      </c>
      <c r="AD8" s="38">
        <v>61102</v>
      </c>
      <c r="AE8" s="38">
        <v>63832</v>
      </c>
      <c r="AF8" s="38">
        <f>Table13678[[#This Row],[Cumulative Contribution Actuals]]-Table13678[[#This Row],[Cumulative Contribution Budget]]</f>
        <v>2730</v>
      </c>
      <c r="AG8" s="39">
        <f>(Table13678[[#This Row],[Cumulative Contribution Variance]]/Table13678[[#This Row],[Cumulative Contribution Budget]])*100</f>
        <v>4.4679388563385807</v>
      </c>
      <c r="AH8" s="38">
        <v>115602</v>
      </c>
      <c r="AI8" s="38">
        <f>Table13678[[#This Row],[Contribution Total Budget 2026]]-Table13678[[#This Row],[Cumulative Contribution Actuals]]</f>
        <v>51770</v>
      </c>
      <c r="AJ8" s="40">
        <f>(Table13678[[#This Row],[Contribution To Be Achieved ]]/Table13678[[#This Row],[Contribution Total Budget 2026]])*100</f>
        <v>44.782962232487328</v>
      </c>
    </row>
    <row r="9" spans="1:36" x14ac:dyDescent="0.25">
      <c r="A9" s="10" t="s">
        <v>63</v>
      </c>
      <c r="B9" s="11">
        <v>2026</v>
      </c>
      <c r="C9" s="22" t="s">
        <v>10</v>
      </c>
      <c r="D9" s="13">
        <f>Table13678[[#This Row],[Cumulative Revenue Budget]]-H8</f>
        <v>15522</v>
      </c>
      <c r="E9" s="13">
        <f>Table13678[[#This Row],[Cumulative Revenue Actuals]]-I8</f>
        <v>24608</v>
      </c>
      <c r="F9" s="13">
        <f>Table13678[[#This Row],[Monthly Revenue Actuals]]-Table13678[[#This Row],[Monthly Revenue Budget]]</f>
        <v>9086</v>
      </c>
      <c r="G9" s="14">
        <f>(Table13678[[#This Row],[Monthly Revenue Variance]]/Table13678[[#This Row],[Monthly Revenue Budget]])*100</f>
        <v>58.53627109908517</v>
      </c>
      <c r="H9" s="13">
        <v>135566</v>
      </c>
      <c r="I9" s="13">
        <v>133755</v>
      </c>
      <c r="J9" s="13">
        <f>Table13678[[#This Row],[Cumulative Revenue Actuals]]-Table13678[[#This Row],[Cumulative Revenue Budget]]</f>
        <v>-1811</v>
      </c>
      <c r="K9" s="14">
        <f>(Table13678[[#This Row],[Cumulative Revenue Variance]]/Table13678[[#This Row],[Cumulative Revenue Budget]])*100</f>
        <v>-1.3358806780461177</v>
      </c>
      <c r="L9" s="13">
        <v>218344</v>
      </c>
      <c r="M9" s="13">
        <f>Table13678[[#This Row],[Revenue Total Budget 2026]]-Table13678[[#This Row],[Cumulative Revenue Actuals]]</f>
        <v>84589</v>
      </c>
      <c r="N9" s="14">
        <f>(Table13678[[#This Row],[Revenue To Be Achieved ]]/Table13678[[#This Row],[Revenue Total Budget 2026]])*100</f>
        <v>38.741160737185361</v>
      </c>
      <c r="O9" s="15">
        <f>Table13678[[#This Row],[Cumulative Expenses Budget]]-S8</f>
        <v>5089</v>
      </c>
      <c r="P9" s="15">
        <f>Table13678[[#This Row],[Cumulative Expenses Actuals]]-T8</f>
        <v>6970</v>
      </c>
      <c r="Q9" s="15">
        <f>Table13678[[#This Row],[Monthly Expenses Budget]]-Table13678[[#This Row],[Monthly Expenses Actuals]]</f>
        <v>-1881</v>
      </c>
      <c r="R9" s="16">
        <f>(Table13678[[#This Row],[Monthly Expenses Variance]]/Table13678[[#This Row],[Monthly Expenses Budget]])*100</f>
        <v>-36.962075063863239</v>
      </c>
      <c r="S9" s="15">
        <v>64031</v>
      </c>
      <c r="T9" s="15">
        <v>52284</v>
      </c>
      <c r="U9" s="15">
        <f>Table13678[[#This Row],[Cumulative Expenses Budget]]-Table13678[[#This Row],[Cumulative Expenses Actuals]]</f>
        <v>11747</v>
      </c>
      <c r="V9" s="16">
        <f>(Table13678[[#This Row],[Cumulative Expenses Variance]]/Table13678[[#This Row],[Cumulative Expenses Budget]])*100</f>
        <v>18.345801252518314</v>
      </c>
      <c r="W9" s="15">
        <v>102742</v>
      </c>
      <c r="X9" s="15">
        <f>Table13678[[#This Row],[Expenses Total Budget 2026]]-Table13678[[#This Row],[Cumulative Expenses Actuals]]</f>
        <v>50458</v>
      </c>
      <c r="Y9" s="16">
        <f>(Table13678[[#This Row],[Expenses To Be Achieved ]]/Table13678[[#This Row],[Expenses Total Budget 2026]])*100</f>
        <v>49.11136633509178</v>
      </c>
      <c r="Z9" s="38">
        <f>Table13678[[#This Row],[Cumulative Contribution Budget]]-AD8</f>
        <v>10433</v>
      </c>
      <c r="AA9" s="38">
        <f>Table13678[[#This Row],[Cumulative Contribution Actuals]]-AE8</f>
        <v>17639</v>
      </c>
      <c r="AB9" s="38">
        <f>Table13678[[#This Row],[Monthly Contribution Actuals]]-Table13678[[#This Row],[Monthly Contribution Budget]]</f>
        <v>7206</v>
      </c>
      <c r="AC9" s="39">
        <f>(Table13678[[#This Row],[Monthly Contribution Variance]]/Table13678[[#This Row],[Monthly Contribution Budget]])*100</f>
        <v>69.069299338637009</v>
      </c>
      <c r="AD9" s="38">
        <v>71535</v>
      </c>
      <c r="AE9" s="38">
        <v>81471</v>
      </c>
      <c r="AF9" s="38">
        <f>Table13678[[#This Row],[Cumulative Contribution Actuals]]-Table13678[[#This Row],[Cumulative Contribution Budget]]</f>
        <v>9936</v>
      </c>
      <c r="AG9" s="39">
        <f>(Table13678[[#This Row],[Cumulative Contribution Variance]]/Table13678[[#This Row],[Cumulative Contribution Budget]])*100</f>
        <v>13.889704340532608</v>
      </c>
      <c r="AH9" s="38">
        <v>115602</v>
      </c>
      <c r="AI9" s="38">
        <f>Table13678[[#This Row],[Contribution Total Budget 2026]]-Table13678[[#This Row],[Cumulative Contribution Actuals]]</f>
        <v>34131</v>
      </c>
      <c r="AJ9" s="40">
        <f>(Table13678[[#This Row],[Contribution To Be Achieved ]]/Table13678[[#This Row],[Contribution Total Budget 2026]])*100</f>
        <v>29.524575699382368</v>
      </c>
    </row>
    <row r="10" spans="1:36" x14ac:dyDescent="0.25">
      <c r="A10" s="10" t="s">
        <v>63</v>
      </c>
      <c r="B10" s="11">
        <v>2026</v>
      </c>
      <c r="C10" s="11" t="s">
        <v>11</v>
      </c>
      <c r="D10" s="13"/>
      <c r="E10" s="13"/>
      <c r="F10" s="13"/>
      <c r="G10" s="14"/>
      <c r="H10" s="13"/>
      <c r="I10" s="13"/>
      <c r="J10" s="13"/>
      <c r="K10" s="14"/>
      <c r="L10" s="13"/>
      <c r="M10" s="13"/>
      <c r="N10" s="14"/>
      <c r="O10" s="15"/>
      <c r="P10" s="15"/>
      <c r="Q10" s="15"/>
      <c r="R10" s="16"/>
      <c r="S10" s="15"/>
      <c r="T10" s="15"/>
      <c r="U10" s="15"/>
      <c r="V10" s="16"/>
      <c r="W10" s="15"/>
      <c r="X10" s="15"/>
      <c r="Y10" s="16"/>
      <c r="Z10" s="38"/>
      <c r="AA10" s="38"/>
      <c r="AB10" s="38"/>
      <c r="AC10" s="39"/>
      <c r="AD10" s="38"/>
      <c r="AE10" s="38"/>
      <c r="AF10" s="38"/>
      <c r="AG10" s="39"/>
      <c r="AH10" s="38"/>
      <c r="AI10" s="38"/>
      <c r="AJ10" s="40"/>
    </row>
    <row r="11" spans="1:36" x14ac:dyDescent="0.25">
      <c r="A11" s="10" t="s">
        <v>63</v>
      </c>
      <c r="B11" s="11">
        <v>2026</v>
      </c>
      <c r="C11" s="22" t="s">
        <v>12</v>
      </c>
      <c r="D11" s="13"/>
      <c r="E11" s="13"/>
      <c r="F11" s="13"/>
      <c r="G11" s="14"/>
      <c r="H11" s="13"/>
      <c r="I11" s="13"/>
      <c r="J11" s="13"/>
      <c r="K11" s="14"/>
      <c r="L11" s="13"/>
      <c r="M11" s="13"/>
      <c r="N11" s="14"/>
      <c r="O11" s="15"/>
      <c r="P11" s="15"/>
      <c r="Q11" s="15"/>
      <c r="R11" s="16"/>
      <c r="S11" s="15"/>
      <c r="T11" s="15"/>
      <c r="U11" s="15"/>
      <c r="V11" s="16"/>
      <c r="W11" s="15"/>
      <c r="X11" s="15"/>
      <c r="Y11" s="16"/>
      <c r="Z11" s="38"/>
      <c r="AA11" s="38"/>
      <c r="AB11" s="38"/>
      <c r="AC11" s="39"/>
      <c r="AD11" s="38"/>
      <c r="AE11" s="38"/>
      <c r="AF11" s="38"/>
      <c r="AG11" s="39"/>
      <c r="AH11" s="38"/>
      <c r="AI11" s="38"/>
      <c r="AJ11" s="40"/>
    </row>
    <row r="12" spans="1:36" x14ac:dyDescent="0.25">
      <c r="A12" s="10" t="s">
        <v>63</v>
      </c>
      <c r="B12" s="11">
        <v>2026</v>
      </c>
      <c r="C12" s="11" t="s">
        <v>13</v>
      </c>
      <c r="D12" s="13"/>
      <c r="E12" s="13"/>
      <c r="F12" s="13"/>
      <c r="G12" s="14"/>
      <c r="H12" s="13"/>
      <c r="I12" s="13"/>
      <c r="J12" s="13"/>
      <c r="K12" s="14"/>
      <c r="L12" s="13"/>
      <c r="M12" s="13"/>
      <c r="N12" s="14"/>
      <c r="O12" s="15"/>
      <c r="P12" s="15"/>
      <c r="Q12" s="15"/>
      <c r="R12" s="16"/>
      <c r="S12" s="15"/>
      <c r="T12" s="15"/>
      <c r="U12" s="15"/>
      <c r="V12" s="16"/>
      <c r="W12" s="15"/>
      <c r="X12" s="15"/>
      <c r="Y12" s="16"/>
      <c r="Z12" s="38"/>
      <c r="AA12" s="38"/>
      <c r="AB12" s="38"/>
      <c r="AC12" s="39"/>
      <c r="AD12" s="38"/>
      <c r="AE12" s="38"/>
      <c r="AF12" s="38"/>
      <c r="AG12" s="39"/>
      <c r="AH12" s="38"/>
      <c r="AI12" s="38"/>
      <c r="AJ12" s="40"/>
    </row>
    <row r="13" spans="1:36" x14ac:dyDescent="0.25">
      <c r="A13" s="23" t="s">
        <v>63</v>
      </c>
      <c r="B13" s="42">
        <v>2026</v>
      </c>
      <c r="C13" s="24" t="s">
        <v>14</v>
      </c>
      <c r="D13" s="25"/>
      <c r="E13" s="25"/>
      <c r="F13" s="25"/>
      <c r="G13" s="26"/>
      <c r="H13" s="25"/>
      <c r="I13" s="25"/>
      <c r="J13" s="25"/>
      <c r="K13" s="26"/>
      <c r="L13" s="25"/>
      <c r="M13" s="25"/>
      <c r="N13" s="26"/>
      <c r="O13" s="27"/>
      <c r="P13" s="27"/>
      <c r="Q13" s="27"/>
      <c r="R13" s="28"/>
      <c r="S13" s="27"/>
      <c r="T13" s="27"/>
      <c r="U13" s="27"/>
      <c r="V13" s="28"/>
      <c r="W13" s="27"/>
      <c r="X13" s="27"/>
      <c r="Y13" s="28"/>
      <c r="Z13" s="43"/>
      <c r="AA13" s="43"/>
      <c r="AB13" s="43"/>
      <c r="AC13" s="44"/>
      <c r="AD13" s="43"/>
      <c r="AE13" s="43"/>
      <c r="AF13" s="43"/>
      <c r="AG13" s="44"/>
      <c r="AH13" s="43"/>
      <c r="AI13" s="43"/>
      <c r="AJ13" s="45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2877B-F43C-4462-B6C3-477E2F799FFE}">
  <sheetPr codeName="Sheet12"/>
  <dimension ref="A1:AJ20"/>
  <sheetViews>
    <sheetView topLeftCell="AD1" zoomScale="130" zoomScaleNormal="130" workbookViewId="0">
      <selection activeCell="AC9" sqref="AC9"/>
    </sheetView>
  </sheetViews>
  <sheetFormatPr defaultRowHeight="15" x14ac:dyDescent="0.25"/>
  <cols>
    <col min="1" max="1" width="18.85546875" customWidth="1"/>
    <col min="2" max="2" width="7.140625" customWidth="1"/>
    <col min="4" max="4" width="22.140625" customWidth="1"/>
    <col min="5" max="5" width="22.5703125" customWidth="1"/>
    <col min="6" max="6" width="23.5703125" customWidth="1"/>
    <col min="7" max="7" width="25.42578125" customWidth="1"/>
    <col min="8" max="8" width="25.140625" customWidth="1"/>
    <col min="9" max="9" width="24.5703125" customWidth="1"/>
    <col min="10" max="10" width="26.42578125" customWidth="1"/>
    <col min="11" max="11" width="28.28515625" customWidth="1"/>
    <col min="12" max="12" width="23.85546875" customWidth="1"/>
    <col min="13" max="13" width="22" customWidth="1"/>
    <col min="14" max="14" width="23.140625" customWidth="1"/>
    <col min="15" max="15" width="22.85546875" customWidth="1"/>
    <col min="16" max="16" width="23.42578125" customWidth="1"/>
    <col min="17" max="17" width="24.42578125" customWidth="1"/>
    <col min="18" max="18" width="26.140625" customWidth="1"/>
    <col min="19" max="19" width="25.85546875" customWidth="1"/>
    <col min="20" max="20" width="25.42578125" customWidth="1"/>
    <col min="21" max="21" width="27.28515625" customWidth="1"/>
    <col min="22" max="22" width="29.140625" customWidth="1"/>
    <col min="23" max="23" width="24.7109375" customWidth="1"/>
    <col min="24" max="24" width="22.85546875" customWidth="1"/>
    <col min="25" max="25" width="23.85546875" customWidth="1"/>
    <col min="26" max="26" width="25.42578125" customWidth="1"/>
    <col min="27" max="27" width="25.85546875" customWidth="1"/>
    <col min="28" max="28" width="26.7109375" customWidth="1"/>
    <col min="29" max="29" width="28.5703125" customWidth="1"/>
    <col min="30" max="30" width="28.28515625" customWidth="1"/>
    <col min="31" max="31" width="27.85546875" customWidth="1"/>
    <col min="32" max="32" width="29.7109375" customWidth="1"/>
    <col min="33" max="33" width="31.5703125" customWidth="1"/>
    <col min="34" max="34" width="27.140625" customWidth="1"/>
    <col min="35" max="35" width="25.28515625" customWidth="1"/>
    <col min="36" max="36" width="26.42578125" customWidth="1"/>
  </cols>
  <sheetData>
    <row r="1" spans="1:36" s="1" customFormat="1" ht="30" x14ac:dyDescent="0.25">
      <c r="A1" s="2" t="s">
        <v>0</v>
      </c>
      <c r="B1" s="3" t="s">
        <v>1</v>
      </c>
      <c r="C1" s="3" t="s">
        <v>2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56</v>
      </c>
      <c r="J1" s="4" t="s">
        <v>21</v>
      </c>
      <c r="K1" s="4" t="s">
        <v>22</v>
      </c>
      <c r="L1" s="4" t="s">
        <v>89</v>
      </c>
      <c r="M1" s="4" t="s">
        <v>23</v>
      </c>
      <c r="N1" s="4" t="s">
        <v>24</v>
      </c>
      <c r="O1" s="5" t="s">
        <v>25</v>
      </c>
      <c r="P1" s="5" t="s">
        <v>26</v>
      </c>
      <c r="Q1" s="5" t="s">
        <v>27</v>
      </c>
      <c r="R1" s="5" t="s">
        <v>28</v>
      </c>
      <c r="S1" s="5" t="s">
        <v>29</v>
      </c>
      <c r="T1" s="5" t="s">
        <v>55</v>
      </c>
      <c r="U1" s="5" t="s">
        <v>30</v>
      </c>
      <c r="V1" s="5" t="s">
        <v>31</v>
      </c>
      <c r="W1" s="5" t="s">
        <v>90</v>
      </c>
      <c r="X1" s="5" t="s">
        <v>32</v>
      </c>
      <c r="Y1" s="5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7" t="s">
        <v>57</v>
      </c>
      <c r="AF1" s="7" t="s">
        <v>39</v>
      </c>
      <c r="AG1" s="7" t="s">
        <v>40</v>
      </c>
      <c r="AH1" s="7" t="s">
        <v>91</v>
      </c>
      <c r="AI1" s="7" t="s">
        <v>41</v>
      </c>
      <c r="AJ1" s="35" t="s">
        <v>42</v>
      </c>
    </row>
    <row r="2" spans="1:36" x14ac:dyDescent="0.25">
      <c r="A2" s="10" t="s">
        <v>64</v>
      </c>
      <c r="B2" s="11">
        <v>2026</v>
      </c>
      <c r="C2" s="12" t="s">
        <v>3</v>
      </c>
      <c r="D2" s="13">
        <v>3120</v>
      </c>
      <c r="E2" s="13">
        <v>2949.7</v>
      </c>
      <c r="F2" s="13">
        <f>Table136789[[#This Row],[Monthly Revenue Actuals]]-Table136789[[#This Row],[Monthly Revenue Budget]]</f>
        <v>-170.30000000000018</v>
      </c>
      <c r="G2" s="14">
        <f>(Table136789[[#This Row],[Monthly Revenue Variance]]/Table136789[[#This Row],[Monthly Revenue Budget]])*100</f>
        <v>-5.4583333333333393</v>
      </c>
      <c r="H2" s="13">
        <v>3120</v>
      </c>
      <c r="I2" s="13">
        <v>2949.7</v>
      </c>
      <c r="J2" s="13">
        <f>Table136789[[#This Row],[Cumulative Revenue Actuals]]-Table136789[[#This Row],[Cumulative Revenue Budget]]</f>
        <v>-170.30000000000018</v>
      </c>
      <c r="K2" s="14">
        <f>(Table136789[[#This Row],[Cumulative Revenue Variance]]/Table136789[[#This Row],[Cumulative Revenue Budget]])*100</f>
        <v>-5.4583333333333393</v>
      </c>
      <c r="L2" s="13">
        <v>71289</v>
      </c>
      <c r="M2" s="13">
        <f>Table136789[[#This Row],[Revenue Total Budget 2026]]-Table136789[[#This Row],[Cumulative Revenue Actuals]]</f>
        <v>68339.3</v>
      </c>
      <c r="N2" s="14">
        <f>(Table136789[[#This Row],[Revenue To Be Achieved ]]/Table136789[[#This Row],[Revenue Total Budget 2026]])*100</f>
        <v>95.862335002595074</v>
      </c>
      <c r="O2" s="15">
        <v>7234</v>
      </c>
      <c r="P2" s="15">
        <v>5638.2909099999997</v>
      </c>
      <c r="Q2" s="15">
        <f>Table136789[[#This Row],[Monthly Expenses Budget]]-Table136789[[#This Row],[Monthly Expenses Actuals]]</f>
        <v>1595.7090900000003</v>
      </c>
      <c r="R2" s="16">
        <f>(Table136789[[#This Row],[Monthly Expenses Variance]]/Table136789[[#This Row],[Monthly Expenses Budget]])*100</f>
        <v>22.05846129388997</v>
      </c>
      <c r="S2" s="15">
        <v>7234</v>
      </c>
      <c r="T2" s="15">
        <v>5638.2909099999997</v>
      </c>
      <c r="U2" s="15">
        <f>Table136789[[#This Row],[Cumulative Expenses Budget]]-Table136789[[#This Row],[Cumulative Expenses Actuals]]</f>
        <v>1595.7090900000003</v>
      </c>
      <c r="V2" s="16">
        <f>(Table136789[[#This Row],[Cumulative Expenses Variance]]/Table136789[[#This Row],[Cumulative Expenses Budget]])*100</f>
        <v>22.05846129388997</v>
      </c>
      <c r="W2" s="15">
        <v>137431</v>
      </c>
      <c r="X2" s="15">
        <f>Table136789[[#This Row],[Expenses Total Budget 2026]]-Table136789[[#This Row],[Cumulative Expenses Actuals]]</f>
        <v>131792.70908999999</v>
      </c>
      <c r="Y2" s="16">
        <f>(Table136789[[#This Row],[Expenses To Be Achieved ]]/Table136789[[#This Row],[Expenses Total Budget 2026]])*100</f>
        <v>95.897366016400952</v>
      </c>
      <c r="Z2" s="38">
        <v>-4114</v>
      </c>
      <c r="AA2" s="38">
        <v>-2688.5909100000008</v>
      </c>
      <c r="AB2" s="38">
        <f>Table136789[[#This Row],[Monthly Contribution Actuals]]-Table136789[[#This Row],[Monthly Contribution Budget]]</f>
        <v>1425.4090899999992</v>
      </c>
      <c r="AC2" s="39">
        <f>-(Table136789[[#This Row],[Monthly Contribution Variance]]/Table136789[[#This Row],[Monthly Contribution Budget]])*100</f>
        <v>34.647765921244513</v>
      </c>
      <c r="AD2" s="38">
        <v>-4114</v>
      </c>
      <c r="AE2" s="38">
        <v>-2688.5909100000008</v>
      </c>
      <c r="AF2" s="38">
        <f>Table136789[[#This Row],[Cumulative Contribution Actuals]]-Table136789[[#This Row],[Cumulative Contribution Budget]]</f>
        <v>1425.4090899999992</v>
      </c>
      <c r="AG2" s="39">
        <f>-(Table136789[[#This Row],[Cumulative Contribution Variance]]/Table136789[[#This Row],[Cumulative Contribution Budget]])*100</f>
        <v>34.647765921244513</v>
      </c>
      <c r="AH2" s="38">
        <v>-66142</v>
      </c>
      <c r="AI2" s="38">
        <f>Table136789[[#This Row],[Contribution Total Budget 2026]]-Table136789[[#This Row],[Cumulative Contribution Actuals]]</f>
        <v>-63453.409090000001</v>
      </c>
      <c r="AJ2" s="40">
        <f>(Table136789[[#This Row],[Contribution To Be Achieved ]]/Table136789[[#This Row],[Contribution Total Budget 2026]])*100</f>
        <v>95.935123053430502</v>
      </c>
    </row>
    <row r="3" spans="1:36" x14ac:dyDescent="0.25">
      <c r="A3" s="10" t="s">
        <v>64</v>
      </c>
      <c r="B3" s="11">
        <v>2026</v>
      </c>
      <c r="C3" s="22" t="s">
        <v>4</v>
      </c>
      <c r="D3" s="13">
        <v>2576</v>
      </c>
      <c r="E3" s="13">
        <v>2787.7</v>
      </c>
      <c r="F3" s="13">
        <f>Table136789[[#This Row],[Monthly Revenue Actuals]]-Table136789[[#This Row],[Monthly Revenue Budget]]</f>
        <v>211.69999999999982</v>
      </c>
      <c r="G3" s="14">
        <f>(Table136789[[#This Row],[Monthly Revenue Variance]]/Table136789[[#This Row],[Monthly Revenue Budget]])*100</f>
        <v>8.2181677018633472</v>
      </c>
      <c r="H3" s="13">
        <v>5696</v>
      </c>
      <c r="I3" s="13">
        <v>5737.4</v>
      </c>
      <c r="J3" s="13">
        <f>Table136789[[#This Row],[Cumulative Revenue Actuals]]-Table136789[[#This Row],[Cumulative Revenue Budget]]</f>
        <v>41.399999999999636</v>
      </c>
      <c r="K3" s="14">
        <f>(Table136789[[#This Row],[Cumulative Revenue Variance]]/Table136789[[#This Row],[Cumulative Revenue Budget]])*100</f>
        <v>0.72682584269662287</v>
      </c>
      <c r="L3" s="13">
        <v>71289</v>
      </c>
      <c r="M3" s="13">
        <f>Table136789[[#This Row],[Revenue Total Budget 2026]]-Table136789[[#This Row],[Cumulative Revenue Actuals]]</f>
        <v>65551.600000000006</v>
      </c>
      <c r="N3" s="14">
        <f>(Table136789[[#This Row],[Revenue To Be Achieved ]]/Table136789[[#This Row],[Revenue Total Budget 2026]])*100</f>
        <v>91.951914040034239</v>
      </c>
      <c r="O3" s="15">
        <v>7290</v>
      </c>
      <c r="P3" s="15">
        <v>5314.7090900000003</v>
      </c>
      <c r="Q3" s="15">
        <f>Table136789[[#This Row],[Monthly Expenses Budget]]-Table136789[[#This Row],[Monthly Expenses Actuals]]</f>
        <v>1975.2909099999997</v>
      </c>
      <c r="R3" s="16">
        <f>(Table136789[[#This Row],[Monthly Expenses Variance]]/Table136789[[#This Row],[Monthly Expenses Budget]])*100</f>
        <v>27.095897256515773</v>
      </c>
      <c r="S3" s="15">
        <v>14524</v>
      </c>
      <c r="T3" s="15">
        <v>10953</v>
      </c>
      <c r="U3" s="15">
        <f>Table136789[[#This Row],[Cumulative Expenses Budget]]-Table136789[[#This Row],[Cumulative Expenses Actuals]]</f>
        <v>3571</v>
      </c>
      <c r="V3" s="16">
        <f>(Table136789[[#This Row],[Cumulative Expenses Variance]]/Table136789[[#This Row],[Cumulative Expenses Budget]])*100</f>
        <v>24.586890663729001</v>
      </c>
      <c r="W3" s="15">
        <v>137431</v>
      </c>
      <c r="X3" s="15">
        <f>Table136789[[#This Row],[Expenses Total Budget 2026]]-Table136789[[#This Row],[Cumulative Expenses Actuals]]</f>
        <v>126478</v>
      </c>
      <c r="Y3" s="16">
        <f>(Table136789[[#This Row],[Expenses To Be Achieved ]]/Table136789[[#This Row],[Expenses Total Budget 2026]])*100</f>
        <v>92.030182418813794</v>
      </c>
      <c r="Z3" s="38">
        <v>-4715</v>
      </c>
      <c r="AA3" s="38">
        <v>-2527.4090899999992</v>
      </c>
      <c r="AB3" s="38">
        <f>Table136789[[#This Row],[Monthly Contribution Actuals]]-Table136789[[#This Row],[Monthly Contribution Budget]]</f>
        <v>2187.5909100000008</v>
      </c>
      <c r="AC3" s="39">
        <f>-(Table136789[[#This Row],[Monthly Contribution Variance]]/Table136789[[#This Row],[Monthly Contribution Budget]])*100</f>
        <v>46.396413785790045</v>
      </c>
      <c r="AD3" s="38">
        <v>-8829</v>
      </c>
      <c r="AE3" s="38">
        <v>-5216</v>
      </c>
      <c r="AF3" s="38">
        <f>Table136789[[#This Row],[Cumulative Contribution Actuals]]-Table136789[[#This Row],[Cumulative Contribution Budget]]</f>
        <v>3613</v>
      </c>
      <c r="AG3" s="39">
        <f>-(Table136789[[#This Row],[Cumulative Contribution Variance]]/Table136789[[#This Row],[Cumulative Contribution Budget]])*100</f>
        <v>40.921961717068747</v>
      </c>
      <c r="AH3" s="38">
        <v>-66142</v>
      </c>
      <c r="AI3" s="38">
        <f>Table136789[[#This Row],[Contribution Total Budget 2026]]-Table136789[[#This Row],[Cumulative Contribution Actuals]]</f>
        <v>-60926</v>
      </c>
      <c r="AJ3" s="40">
        <f>(Table136789[[#This Row],[Contribution To Be Achieved ]]/Table136789[[#This Row],[Contribution Total Budget 2026]])*100</f>
        <v>92.113936681684862</v>
      </c>
    </row>
    <row r="4" spans="1:36" x14ac:dyDescent="0.25">
      <c r="A4" s="10" t="s">
        <v>64</v>
      </c>
      <c r="B4" s="11">
        <v>2026</v>
      </c>
      <c r="C4" s="11" t="s">
        <v>5</v>
      </c>
      <c r="D4" s="13">
        <v>2150</v>
      </c>
      <c r="E4" s="13">
        <v>2580.6000000000004</v>
      </c>
      <c r="F4" s="13">
        <f>Table136789[[#This Row],[Monthly Revenue Actuals]]-Table136789[[#This Row],[Monthly Revenue Budget]]</f>
        <v>430.60000000000036</v>
      </c>
      <c r="G4" s="14">
        <f>(Table136789[[#This Row],[Monthly Revenue Variance]]/Table136789[[#This Row],[Monthly Revenue Budget]])*100</f>
        <v>20.027906976744202</v>
      </c>
      <c r="H4" s="13">
        <v>7846</v>
      </c>
      <c r="I4" s="13">
        <v>8318</v>
      </c>
      <c r="J4" s="13">
        <f>Table136789[[#This Row],[Cumulative Revenue Actuals]]-Table136789[[#This Row],[Cumulative Revenue Budget]]</f>
        <v>472</v>
      </c>
      <c r="K4" s="14">
        <f>(Table136789[[#This Row],[Cumulative Revenue Variance]]/Table136789[[#This Row],[Cumulative Revenue Budget]])*100</f>
        <v>6.0158042314555189</v>
      </c>
      <c r="L4" s="13">
        <v>71289</v>
      </c>
      <c r="M4" s="13">
        <f>Table136789[[#This Row],[Revenue Total Budget 2026]]-Table136789[[#This Row],[Cumulative Revenue Actuals]]</f>
        <v>62971</v>
      </c>
      <c r="N4" s="14">
        <f>(Table136789[[#This Row],[Revenue To Be Achieved ]]/Table136789[[#This Row],[Revenue Total Budget 2026]])*100</f>
        <v>88.332000729425303</v>
      </c>
      <c r="O4" s="15">
        <v>5771</v>
      </c>
      <c r="P4" s="15">
        <v>7529</v>
      </c>
      <c r="Q4" s="15">
        <f>Table136789[[#This Row],[Monthly Expenses Budget]]-Table136789[[#This Row],[Monthly Expenses Actuals]]</f>
        <v>-1758</v>
      </c>
      <c r="R4" s="16">
        <f>(Table136789[[#This Row],[Monthly Expenses Variance]]/Table136789[[#This Row],[Monthly Expenses Budget]])*100</f>
        <v>-30.462658118177092</v>
      </c>
      <c r="S4" s="15">
        <v>20295</v>
      </c>
      <c r="T4" s="15">
        <v>18482</v>
      </c>
      <c r="U4" s="15">
        <f>Table136789[[#This Row],[Cumulative Expenses Budget]]-Table136789[[#This Row],[Cumulative Expenses Actuals]]</f>
        <v>1813</v>
      </c>
      <c r="V4" s="16">
        <f>(Table136789[[#This Row],[Cumulative Expenses Variance]]/Table136789[[#This Row],[Cumulative Expenses Budget]])*100</f>
        <v>8.9332347868933244</v>
      </c>
      <c r="W4" s="15">
        <v>137431</v>
      </c>
      <c r="X4" s="15">
        <f>Table136789[[#This Row],[Expenses Total Budget 2026]]-Table136789[[#This Row],[Cumulative Expenses Actuals]]</f>
        <v>118949</v>
      </c>
      <c r="Y4" s="16">
        <f>(Table136789[[#This Row],[Expenses To Be Achieved ]]/Table136789[[#This Row],[Expenses Total Budget 2026]])*100</f>
        <v>86.55179690171795</v>
      </c>
      <c r="Z4" s="38">
        <v>-3620</v>
      </c>
      <c r="AA4" s="38">
        <v>-4949</v>
      </c>
      <c r="AB4" s="38">
        <f>Table136789[[#This Row],[Monthly Contribution Actuals]]-Table136789[[#This Row],[Monthly Contribution Budget]]</f>
        <v>-1329</v>
      </c>
      <c r="AC4" s="39">
        <f>-(Table136789[[#This Row],[Monthly Contribution Variance]]/Table136789[[#This Row],[Monthly Contribution Budget]])*100</f>
        <v>-36.712707182320443</v>
      </c>
      <c r="AD4" s="38">
        <v>-12449</v>
      </c>
      <c r="AE4" s="38">
        <v>-10165</v>
      </c>
      <c r="AF4" s="38">
        <f>Table136789[[#This Row],[Cumulative Contribution Actuals]]-Table136789[[#This Row],[Cumulative Contribution Budget]]</f>
        <v>2284</v>
      </c>
      <c r="AG4" s="39">
        <f>-(Table136789[[#This Row],[Cumulative Contribution Variance]]/Table136789[[#This Row],[Cumulative Contribution Budget]])*100</f>
        <v>18.346855169089888</v>
      </c>
      <c r="AH4" s="38">
        <v>-66142</v>
      </c>
      <c r="AI4" s="38">
        <f>Table136789[[#This Row],[Contribution Total Budget 2026]]-Table136789[[#This Row],[Cumulative Contribution Actuals]]</f>
        <v>-55977</v>
      </c>
      <c r="AJ4" s="40">
        <f>(Table136789[[#This Row],[Contribution To Be Achieved ]]/Table136789[[#This Row],[Contribution Total Budget 2026]])*100</f>
        <v>84.631550300867829</v>
      </c>
    </row>
    <row r="5" spans="1:36" x14ac:dyDescent="0.25">
      <c r="A5" s="10" t="s">
        <v>64</v>
      </c>
      <c r="B5" s="11">
        <v>2026</v>
      </c>
      <c r="C5" s="22" t="s">
        <v>6</v>
      </c>
      <c r="D5" s="13">
        <v>546</v>
      </c>
      <c r="E5" s="13">
        <v>3014</v>
      </c>
      <c r="F5" s="13">
        <f>Table136789[[#This Row],[Monthly Revenue Actuals]]-Table136789[[#This Row],[Monthly Revenue Budget]]</f>
        <v>2468</v>
      </c>
      <c r="G5" s="14">
        <f>(Table136789[[#This Row],[Monthly Revenue Variance]]/Table136789[[#This Row],[Monthly Revenue Budget]])*100</f>
        <v>452.01465201465203</v>
      </c>
      <c r="H5" s="13">
        <v>8392</v>
      </c>
      <c r="I5" s="13">
        <v>11332</v>
      </c>
      <c r="J5" s="13">
        <f>Table136789[[#This Row],[Cumulative Revenue Actuals]]-Table136789[[#This Row],[Cumulative Revenue Budget]]</f>
        <v>2940</v>
      </c>
      <c r="K5" s="14">
        <f>(Table136789[[#This Row],[Cumulative Revenue Variance]]/Table136789[[#This Row],[Cumulative Revenue Budget]])*100</f>
        <v>35.033365109628214</v>
      </c>
      <c r="L5" s="13">
        <v>71289</v>
      </c>
      <c r="M5" s="13">
        <f>Table136789[[#This Row],[Revenue Total Budget 2026]]-Table136789[[#This Row],[Cumulative Revenue Actuals]]</f>
        <v>59957</v>
      </c>
      <c r="N5" s="14">
        <f>(Table136789[[#This Row],[Revenue To Be Achieved ]]/Table136789[[#This Row],[Revenue Total Budget 2026]])*100</f>
        <v>84.104139488560648</v>
      </c>
      <c r="O5" s="15">
        <v>10302</v>
      </c>
      <c r="P5" s="15">
        <v>8169</v>
      </c>
      <c r="Q5" s="15">
        <f>Table136789[[#This Row],[Monthly Expenses Budget]]-Table136789[[#This Row],[Monthly Expenses Actuals]]</f>
        <v>2133</v>
      </c>
      <c r="R5" s="16">
        <f>(Table136789[[#This Row],[Monthly Expenses Variance]]/Table136789[[#This Row],[Monthly Expenses Budget]])*100</f>
        <v>20.704717530576584</v>
      </c>
      <c r="S5" s="15">
        <v>30597</v>
      </c>
      <c r="T5" s="15">
        <v>26651</v>
      </c>
      <c r="U5" s="15">
        <f>Table136789[[#This Row],[Cumulative Expenses Budget]]-Table136789[[#This Row],[Cumulative Expenses Actuals]]</f>
        <v>3946</v>
      </c>
      <c r="V5" s="16">
        <f>(Table136789[[#This Row],[Cumulative Expenses Variance]]/Table136789[[#This Row],[Cumulative Expenses Budget]])*100</f>
        <v>12.896689217897178</v>
      </c>
      <c r="W5" s="15">
        <v>137431</v>
      </c>
      <c r="X5" s="15">
        <f>Table136789[[#This Row],[Expenses Total Budget 2026]]-Table136789[[#This Row],[Cumulative Expenses Actuals]]</f>
        <v>110780</v>
      </c>
      <c r="Y5" s="16">
        <f>(Table136789[[#This Row],[Expenses To Be Achieved ]]/Table136789[[#This Row],[Expenses Total Budget 2026]])*100</f>
        <v>80.607723148343538</v>
      </c>
      <c r="Z5" s="38">
        <v>-9756</v>
      </c>
      <c r="AA5" s="38">
        <v>-5154</v>
      </c>
      <c r="AB5" s="38">
        <f>Table136789[[#This Row],[Monthly Contribution Actuals]]-Table136789[[#This Row],[Monthly Contribution Budget]]</f>
        <v>4602</v>
      </c>
      <c r="AC5" s="39">
        <f>-(Table136789[[#This Row],[Monthly Contribution Variance]]/Table136789[[#This Row],[Monthly Contribution Budget]])*100</f>
        <v>47.170971709717094</v>
      </c>
      <c r="AD5" s="38">
        <v>-22205</v>
      </c>
      <c r="AE5" s="38">
        <v>-15319</v>
      </c>
      <c r="AF5" s="38">
        <f>Table136789[[#This Row],[Cumulative Contribution Actuals]]-Table136789[[#This Row],[Cumulative Contribution Budget]]</f>
        <v>6886</v>
      </c>
      <c r="AG5" s="39">
        <f>-(Table136789[[#This Row],[Cumulative Contribution Variance]]/Table136789[[#This Row],[Cumulative Contribution Budget]])*100</f>
        <v>31.011033551002026</v>
      </c>
      <c r="AH5" s="38">
        <v>-66142</v>
      </c>
      <c r="AI5" s="38">
        <f>Table136789[[#This Row],[Contribution Total Budget 2026]]-Table136789[[#This Row],[Cumulative Contribution Actuals]]</f>
        <v>-50823</v>
      </c>
      <c r="AJ5" s="40">
        <f>(Table136789[[#This Row],[Contribution To Be Achieved ]]/Table136789[[#This Row],[Contribution Total Budget 2026]])*100</f>
        <v>76.839224698376213</v>
      </c>
    </row>
    <row r="6" spans="1:36" x14ac:dyDescent="0.25">
      <c r="A6" s="10" t="s">
        <v>64</v>
      </c>
      <c r="B6" s="11">
        <v>2026</v>
      </c>
      <c r="C6" s="11" t="s">
        <v>7</v>
      </c>
      <c r="D6" s="13">
        <v>12433</v>
      </c>
      <c r="E6" s="13">
        <v>13486</v>
      </c>
      <c r="F6" s="13">
        <f>Table136789[[#This Row],[Monthly Revenue Actuals]]-Table136789[[#This Row],[Monthly Revenue Budget]]</f>
        <v>1053</v>
      </c>
      <c r="G6" s="14">
        <f>(Table136789[[#This Row],[Monthly Revenue Variance]]/Table136789[[#This Row],[Monthly Revenue Budget]])*100</f>
        <v>8.4693959623582415</v>
      </c>
      <c r="H6" s="13">
        <v>20825</v>
      </c>
      <c r="I6" s="13">
        <v>24818</v>
      </c>
      <c r="J6" s="13">
        <f>Table136789[[#This Row],[Cumulative Revenue Actuals]]-Table136789[[#This Row],[Cumulative Revenue Budget]]</f>
        <v>3993</v>
      </c>
      <c r="K6" s="14">
        <f>(Table136789[[#This Row],[Cumulative Revenue Variance]]/Table136789[[#This Row],[Cumulative Revenue Budget]])*100</f>
        <v>19.174069627851139</v>
      </c>
      <c r="L6" s="13">
        <v>71289</v>
      </c>
      <c r="M6" s="13">
        <f>Table136789[[#This Row],[Revenue Total Budget 2026]]-Table136789[[#This Row],[Cumulative Revenue Actuals]]</f>
        <v>46471</v>
      </c>
      <c r="N6" s="14">
        <f>(Table136789[[#This Row],[Revenue To Be Achieved ]]/Table136789[[#This Row],[Revenue Total Budget 2026]])*100</f>
        <v>65.186774958268458</v>
      </c>
      <c r="O6" s="15">
        <v>18386</v>
      </c>
      <c r="P6" s="15">
        <v>16574</v>
      </c>
      <c r="Q6" s="15">
        <f>Table136789[[#This Row],[Monthly Expenses Budget]]-Table136789[[#This Row],[Monthly Expenses Actuals]]</f>
        <v>1812</v>
      </c>
      <c r="R6" s="16">
        <f>(Table136789[[#This Row],[Monthly Expenses Variance]]/Table136789[[#This Row],[Monthly Expenses Budget]])*100</f>
        <v>9.8553247035788107</v>
      </c>
      <c r="S6" s="15">
        <v>48983</v>
      </c>
      <c r="T6" s="15">
        <v>43225</v>
      </c>
      <c r="U6" s="15">
        <f>Table136789[[#This Row],[Cumulative Expenses Budget]]-Table136789[[#This Row],[Cumulative Expenses Actuals]]</f>
        <v>5758</v>
      </c>
      <c r="V6" s="16">
        <f>(Table136789[[#This Row],[Cumulative Expenses Variance]]/Table136789[[#This Row],[Cumulative Expenses Budget]])*100</f>
        <v>11.755098707714922</v>
      </c>
      <c r="W6" s="15">
        <v>137431</v>
      </c>
      <c r="X6" s="15">
        <f>Table136789[[#This Row],[Expenses Total Budget 2026]]-Table136789[[#This Row],[Cumulative Expenses Actuals]]</f>
        <v>94206</v>
      </c>
      <c r="Y6" s="16">
        <f>(Table136789[[#This Row],[Expenses To Be Achieved ]]/Table136789[[#This Row],[Expenses Total Budget 2026]])*100</f>
        <v>68.547853104466967</v>
      </c>
      <c r="Z6" s="38">
        <v>-5953</v>
      </c>
      <c r="AA6" s="38">
        <v>-3087</v>
      </c>
      <c r="AB6" s="38">
        <f>Table136789[[#This Row],[Monthly Contribution Actuals]]-Table136789[[#This Row],[Monthly Contribution Budget]]</f>
        <v>2866</v>
      </c>
      <c r="AC6" s="39">
        <f>-(Table136789[[#This Row],[Monthly Contribution Variance]]/Table136789[[#This Row],[Monthly Contribution Budget]])*100</f>
        <v>48.143793045523267</v>
      </c>
      <c r="AD6" s="38">
        <v>-28158</v>
      </c>
      <c r="AE6" s="38">
        <v>-18406</v>
      </c>
      <c r="AF6" s="38">
        <f>Table136789[[#This Row],[Cumulative Contribution Actuals]]-Table136789[[#This Row],[Cumulative Contribution Budget]]</f>
        <v>9752</v>
      </c>
      <c r="AG6" s="39">
        <f>-(Table136789[[#This Row],[Cumulative Contribution Variance]]/Table136789[[#This Row],[Cumulative Contribution Budget]])*100</f>
        <v>34.633141558349308</v>
      </c>
      <c r="AH6" s="38">
        <v>-66142</v>
      </c>
      <c r="AI6" s="38">
        <f>Table136789[[#This Row],[Contribution Total Budget 2026]]-Table136789[[#This Row],[Cumulative Contribution Actuals]]</f>
        <v>-47736</v>
      </c>
      <c r="AJ6" s="40">
        <f>(Table136789[[#This Row],[Contribution To Be Achieved ]]/Table136789[[#This Row],[Contribution Total Budget 2026]])*100</f>
        <v>72.171993589549757</v>
      </c>
    </row>
    <row r="7" spans="1:36" x14ac:dyDescent="0.25">
      <c r="A7" s="10" t="s">
        <v>64</v>
      </c>
      <c r="B7" s="11">
        <v>2026</v>
      </c>
      <c r="C7" s="22" t="s">
        <v>8</v>
      </c>
      <c r="D7" s="13">
        <v>2805</v>
      </c>
      <c r="E7" s="13">
        <v>4726</v>
      </c>
      <c r="F7" s="13">
        <f>Table136789[[#This Row],[Monthly Revenue Actuals]]-Table136789[[#This Row],[Monthly Revenue Budget]]</f>
        <v>1921</v>
      </c>
      <c r="G7" s="14">
        <f>(Table136789[[#This Row],[Monthly Revenue Variance]]/Table136789[[#This Row],[Monthly Revenue Budget]])*100</f>
        <v>68.484848484848484</v>
      </c>
      <c r="H7" s="13">
        <v>23630</v>
      </c>
      <c r="I7" s="13">
        <v>29544</v>
      </c>
      <c r="J7" s="13">
        <f>Table136789[[#This Row],[Cumulative Revenue Actuals]]-Table136789[[#This Row],[Cumulative Revenue Budget]]</f>
        <v>5914</v>
      </c>
      <c r="K7" s="14">
        <f>(Table136789[[#This Row],[Cumulative Revenue Variance]]/Table136789[[#This Row],[Cumulative Revenue Budget]])*100</f>
        <v>25.027507405840034</v>
      </c>
      <c r="L7" s="13">
        <v>71289</v>
      </c>
      <c r="M7" s="13">
        <f>Table136789[[#This Row],[Revenue Total Budget 2026]]-Table136789[[#This Row],[Cumulative Revenue Actuals]]</f>
        <v>41745</v>
      </c>
      <c r="N7" s="14">
        <f>(Table136789[[#This Row],[Revenue To Be Achieved ]]/Table136789[[#This Row],[Revenue Total Budget 2026]])*100</f>
        <v>58.557421201026806</v>
      </c>
      <c r="O7" s="15">
        <v>11073</v>
      </c>
      <c r="P7" s="15">
        <v>10219</v>
      </c>
      <c r="Q7" s="15">
        <f>Table136789[[#This Row],[Monthly Expenses Budget]]-Table136789[[#This Row],[Monthly Expenses Actuals]]</f>
        <v>854</v>
      </c>
      <c r="R7" s="16">
        <f>(Table136789[[#This Row],[Monthly Expenses Variance]]/Table136789[[#This Row],[Monthly Expenses Budget]])*100</f>
        <v>7.7124537162467268</v>
      </c>
      <c r="S7" s="15">
        <v>60057</v>
      </c>
      <c r="T7" s="15">
        <v>53444</v>
      </c>
      <c r="U7" s="15">
        <f>Table136789[[#This Row],[Cumulative Expenses Budget]]-Table136789[[#This Row],[Cumulative Expenses Actuals]]</f>
        <v>6613</v>
      </c>
      <c r="V7" s="16">
        <f>(Table136789[[#This Row],[Cumulative Expenses Variance]]/Table136789[[#This Row],[Cumulative Expenses Budget]])*100</f>
        <v>11.011206020946767</v>
      </c>
      <c r="W7" s="15">
        <v>137431</v>
      </c>
      <c r="X7" s="15">
        <f>Table136789[[#This Row],[Expenses Total Budget 2026]]-Table136789[[#This Row],[Cumulative Expenses Actuals]]</f>
        <v>83987</v>
      </c>
      <c r="Y7" s="16">
        <f>(Table136789[[#This Row],[Expenses To Be Achieved ]]/Table136789[[#This Row],[Expenses Total Budget 2026]])*100</f>
        <v>61.11212171926276</v>
      </c>
      <c r="Z7" s="38">
        <v>-8269</v>
      </c>
      <c r="AA7" s="38">
        <v>-5493</v>
      </c>
      <c r="AB7" s="38">
        <f>Table136789[[#This Row],[Monthly Contribution Actuals]]-Table136789[[#This Row],[Monthly Contribution Budget]]</f>
        <v>2776</v>
      </c>
      <c r="AC7" s="39">
        <f>-(Table136789[[#This Row],[Monthly Contribution Variance]]/Table136789[[#This Row],[Monthly Contribution Budget]])*100</f>
        <v>33.571169427984039</v>
      </c>
      <c r="AD7" s="38">
        <v>-36427</v>
      </c>
      <c r="AE7" s="38">
        <v>-23899</v>
      </c>
      <c r="AF7" s="38">
        <f>Table136789[[#This Row],[Cumulative Contribution Actuals]]-Table136789[[#This Row],[Cumulative Contribution Budget]]</f>
        <v>12528</v>
      </c>
      <c r="AG7" s="39">
        <f>-(Table136789[[#This Row],[Cumulative Contribution Variance]]/Table136789[[#This Row],[Cumulative Contribution Budget]])*100</f>
        <v>34.392071814862604</v>
      </c>
      <c r="AH7" s="38">
        <v>-66142</v>
      </c>
      <c r="AI7" s="38">
        <f>Table136789[[#This Row],[Contribution Total Budget 2026]]-Table136789[[#This Row],[Cumulative Contribution Actuals]]</f>
        <v>-42243</v>
      </c>
      <c r="AJ7" s="40">
        <f>(Table136789[[#This Row],[Contribution To Be Achieved ]]/Table136789[[#This Row],[Contribution Total Budget 2026]])*100</f>
        <v>63.86713434731336</v>
      </c>
    </row>
    <row r="8" spans="1:36" x14ac:dyDescent="0.25">
      <c r="A8" s="10" t="s">
        <v>64</v>
      </c>
      <c r="B8" s="11">
        <v>2026</v>
      </c>
      <c r="C8" s="11" t="s">
        <v>9</v>
      </c>
      <c r="D8" s="13">
        <f>Table136789[[#This Row],[Cumulative Revenue Budget]]-H7</f>
        <v>4672</v>
      </c>
      <c r="E8" s="13">
        <f>Table136789[[#This Row],[Cumulative Revenue Actuals]]-I7</f>
        <v>1348</v>
      </c>
      <c r="F8" s="13">
        <f>Table136789[[#This Row],[Monthly Revenue Actuals]]-Table136789[[#This Row],[Monthly Revenue Budget]]</f>
        <v>-3324</v>
      </c>
      <c r="G8" s="14">
        <f>(Table136789[[#This Row],[Monthly Revenue Variance]]/Table136789[[#This Row],[Monthly Revenue Budget]])*100</f>
        <v>-71.147260273972606</v>
      </c>
      <c r="H8" s="13">
        <v>28302</v>
      </c>
      <c r="I8" s="13">
        <v>30892</v>
      </c>
      <c r="J8" s="13">
        <f>Table136789[[#This Row],[Cumulative Revenue Actuals]]-Table136789[[#This Row],[Cumulative Revenue Budget]]</f>
        <v>2590</v>
      </c>
      <c r="K8" s="14">
        <f>(Table136789[[#This Row],[Cumulative Revenue Variance]]/Table136789[[#This Row],[Cumulative Revenue Budget]])*100</f>
        <v>9.1512967281464217</v>
      </c>
      <c r="L8" s="13">
        <v>71289</v>
      </c>
      <c r="M8" s="13">
        <f>Table136789[[#This Row],[Revenue Total Budget 2026]]-Table136789[[#This Row],[Cumulative Revenue Actuals]]</f>
        <v>40397</v>
      </c>
      <c r="N8" s="14">
        <f>(Table136789[[#This Row],[Revenue To Be Achieved ]]/Table136789[[#This Row],[Revenue Total Budget 2026]])*100</f>
        <v>56.666526392571079</v>
      </c>
      <c r="O8" s="15">
        <f>Table136789[[#This Row],[Cumulative Expenses Budget]]-S7</f>
        <v>6938</v>
      </c>
      <c r="P8" s="15">
        <f>Table136789[[#This Row],[Cumulative Expenses Actuals]]-T7</f>
        <v>9195</v>
      </c>
      <c r="Q8" s="15">
        <f>Table136789[[#This Row],[Monthly Expenses Budget]]-Table136789[[#This Row],[Monthly Expenses Actuals]]</f>
        <v>-2257</v>
      </c>
      <c r="R8" s="16">
        <f>(Table136789[[#This Row],[Monthly Expenses Variance]]/Table136789[[#This Row],[Monthly Expenses Budget]])*100</f>
        <v>-32.530988757567023</v>
      </c>
      <c r="S8" s="15">
        <v>66995</v>
      </c>
      <c r="T8" s="15">
        <v>62639</v>
      </c>
      <c r="U8" s="15">
        <f>Table136789[[#This Row],[Cumulative Expenses Budget]]-Table136789[[#This Row],[Cumulative Expenses Actuals]]</f>
        <v>4356</v>
      </c>
      <c r="V8" s="16">
        <f>(Table136789[[#This Row],[Cumulative Expenses Variance]]/Table136789[[#This Row],[Cumulative Expenses Budget]])*100</f>
        <v>6.5019777595342942</v>
      </c>
      <c r="W8" s="15">
        <v>137431</v>
      </c>
      <c r="X8" s="15">
        <f>Table136789[[#This Row],[Expenses Total Budget 2026]]-Table136789[[#This Row],[Cumulative Expenses Actuals]]</f>
        <v>74792</v>
      </c>
      <c r="Y8" s="16">
        <f>(Table136789[[#This Row],[Expenses To Be Achieved ]]/Table136789[[#This Row],[Expenses Total Budget 2026]])*100</f>
        <v>54.421491512104261</v>
      </c>
      <c r="Z8" s="38">
        <f>Table136789[[#This Row],[Cumulative Contribution Budget]]-AD7</f>
        <v>-2266</v>
      </c>
      <c r="AA8" s="38">
        <f>Table136789[[#This Row],[Cumulative Contribution Actuals]]-AE7</f>
        <v>-7847</v>
      </c>
      <c r="AB8" s="38">
        <f>Table136789[[#This Row],[Monthly Contribution Actuals]]-Table136789[[#This Row],[Monthly Contribution Budget]]</f>
        <v>-5581</v>
      </c>
      <c r="AC8" s="39">
        <f>-(Table136789[[#This Row],[Monthly Contribution Variance]]/Table136789[[#This Row],[Monthly Contribution Budget]])*100</f>
        <v>-246.29302736098856</v>
      </c>
      <c r="AD8" s="38">
        <v>-38693</v>
      </c>
      <c r="AE8" s="38">
        <v>-31746</v>
      </c>
      <c r="AF8" s="38">
        <f>Table136789[[#This Row],[Cumulative Contribution Actuals]]-Table136789[[#This Row],[Cumulative Contribution Budget]]</f>
        <v>6947</v>
      </c>
      <c r="AG8" s="39">
        <f>-(Table136789[[#This Row],[Cumulative Contribution Variance]]/Table136789[[#This Row],[Cumulative Contribution Budget]])*100</f>
        <v>17.954151913782855</v>
      </c>
      <c r="AH8" s="38">
        <v>-66142</v>
      </c>
      <c r="AI8" s="38">
        <f>Table136789[[#This Row],[Contribution Total Budget 2026]]-Table136789[[#This Row],[Cumulative Contribution Actuals]]</f>
        <v>-34396</v>
      </c>
      <c r="AJ8" s="40">
        <f>(Table136789[[#This Row],[Contribution To Be Achieved ]]/Table136789[[#This Row],[Contribution Total Budget 2026]])*100</f>
        <v>52.003265701067406</v>
      </c>
    </row>
    <row r="9" spans="1:36" x14ac:dyDescent="0.25">
      <c r="A9" s="10" t="s">
        <v>64</v>
      </c>
      <c r="B9" s="11">
        <v>2026</v>
      </c>
      <c r="C9" s="22" t="s">
        <v>10</v>
      </c>
      <c r="D9" s="13">
        <f>Table136789[[#This Row],[Cumulative Revenue Budget]]-H8</f>
        <v>5775</v>
      </c>
      <c r="E9" s="13">
        <f>Table136789[[#This Row],[Cumulative Revenue Actuals]]-I8</f>
        <v>2813</v>
      </c>
      <c r="F9" s="13">
        <f>Table136789[[#This Row],[Monthly Revenue Actuals]]-Table136789[[#This Row],[Monthly Revenue Budget]]</f>
        <v>-2962</v>
      </c>
      <c r="G9" s="14">
        <f>(Table136789[[#This Row],[Monthly Revenue Variance]]/Table136789[[#This Row],[Monthly Revenue Budget]])*100</f>
        <v>-51.290043290043286</v>
      </c>
      <c r="H9" s="13">
        <v>34077</v>
      </c>
      <c r="I9" s="13">
        <v>33705</v>
      </c>
      <c r="J9" s="13">
        <f>Table136789[[#This Row],[Cumulative Revenue Actuals]]-Table136789[[#This Row],[Cumulative Revenue Budget]]</f>
        <v>-372</v>
      </c>
      <c r="K9" s="14">
        <f>(Table136789[[#This Row],[Cumulative Revenue Variance]]/Table136789[[#This Row],[Cumulative Revenue Budget]])*100</f>
        <v>-1.0916453913196584</v>
      </c>
      <c r="L9" s="13">
        <v>71289</v>
      </c>
      <c r="M9" s="13">
        <f>Table136789[[#This Row],[Revenue Total Budget 2026]]-Table136789[[#This Row],[Cumulative Revenue Actuals]]</f>
        <v>37584</v>
      </c>
      <c r="N9" s="14">
        <f>(Table136789[[#This Row],[Revenue To Be Achieved ]]/Table136789[[#This Row],[Revenue Total Budget 2026]])*100</f>
        <v>52.7206160838278</v>
      </c>
      <c r="O9" s="15">
        <f>Table136789[[#This Row],[Cumulative Expenses Budget]]-S8</f>
        <v>17794</v>
      </c>
      <c r="P9" s="15">
        <f>Table136789[[#This Row],[Cumulative Expenses Actuals]]-T8</f>
        <v>7980</v>
      </c>
      <c r="Q9" s="15">
        <f>Table136789[[#This Row],[Monthly Expenses Budget]]-Table136789[[#This Row],[Monthly Expenses Actuals]]</f>
        <v>9814</v>
      </c>
      <c r="R9" s="16">
        <f>(Table136789[[#This Row],[Monthly Expenses Variance]]/Table136789[[#This Row],[Monthly Expenses Budget]])*100</f>
        <v>55.153422501966951</v>
      </c>
      <c r="S9" s="15">
        <v>84789</v>
      </c>
      <c r="T9" s="15">
        <v>70619</v>
      </c>
      <c r="U9" s="15">
        <f>Table136789[[#This Row],[Cumulative Expenses Budget]]-Table136789[[#This Row],[Cumulative Expenses Actuals]]</f>
        <v>14170</v>
      </c>
      <c r="V9" s="16">
        <f>(Table136789[[#This Row],[Cumulative Expenses Variance]]/Table136789[[#This Row],[Cumulative Expenses Budget]])*100</f>
        <v>16.712073500100249</v>
      </c>
      <c r="W9" s="15">
        <v>137431</v>
      </c>
      <c r="X9" s="15">
        <f>Table136789[[#This Row],[Expenses Total Budget 2026]]-Table136789[[#This Row],[Cumulative Expenses Actuals]]</f>
        <v>66812</v>
      </c>
      <c r="Y9" s="16">
        <f>(Table136789[[#This Row],[Expenses To Be Achieved ]]/Table136789[[#This Row],[Expenses Total Budget 2026]])*100</f>
        <v>48.614941316005847</v>
      </c>
      <c r="Z9" s="38">
        <f>Table136789[[#This Row],[Cumulative Contribution Budget]]-AD8</f>
        <v>-12020</v>
      </c>
      <c r="AA9" s="38">
        <f>Table136789[[#This Row],[Cumulative Contribution Actuals]]-AE8</f>
        <v>-5169</v>
      </c>
      <c r="AB9" s="38">
        <f>Table136789[[#This Row],[Monthly Contribution Actuals]]-Table136789[[#This Row],[Monthly Contribution Budget]]</f>
        <v>6851</v>
      </c>
      <c r="AC9" s="39">
        <f>-(Table136789[[#This Row],[Monthly Contribution Variance]]/Table136789[[#This Row],[Monthly Contribution Budget]])*100</f>
        <v>56.996672212978375</v>
      </c>
      <c r="AD9" s="38">
        <v>-50713</v>
      </c>
      <c r="AE9" s="38">
        <v>-36915</v>
      </c>
      <c r="AF9" s="38">
        <f>Table136789[[#This Row],[Cumulative Contribution Actuals]]-Table136789[[#This Row],[Cumulative Contribution Budget]]</f>
        <v>13798</v>
      </c>
      <c r="AG9" s="39">
        <f>-(Table136789[[#This Row],[Cumulative Contribution Variance]]/Table136789[[#This Row],[Cumulative Contribution Budget]])*100</f>
        <v>27.208013724291604</v>
      </c>
      <c r="AH9" s="38">
        <v>-66142</v>
      </c>
      <c r="AI9" s="38">
        <f>Table136789[[#This Row],[Contribution Total Budget 2026]]-Table136789[[#This Row],[Cumulative Contribution Actuals]]</f>
        <v>-29227</v>
      </c>
      <c r="AJ9" s="40">
        <f>(Table136789[[#This Row],[Contribution To Be Achieved ]]/Table136789[[#This Row],[Contribution Total Budget 2026]])*100</f>
        <v>44.188261618941063</v>
      </c>
    </row>
    <row r="10" spans="1:36" x14ac:dyDescent="0.25">
      <c r="A10" s="10" t="s">
        <v>64</v>
      </c>
      <c r="B10" s="11">
        <v>2026</v>
      </c>
      <c r="C10" s="11" t="s">
        <v>11</v>
      </c>
      <c r="D10" s="13"/>
      <c r="E10" s="13"/>
      <c r="F10" s="13"/>
      <c r="G10" s="14"/>
      <c r="H10" s="13"/>
      <c r="I10" s="13"/>
      <c r="J10" s="13"/>
      <c r="K10" s="14"/>
      <c r="L10" s="13"/>
      <c r="M10" s="13"/>
      <c r="N10" s="14"/>
      <c r="O10" s="15"/>
      <c r="P10" s="15"/>
      <c r="Q10" s="15"/>
      <c r="R10" s="16"/>
      <c r="S10" s="15"/>
      <c r="T10" s="15"/>
      <c r="U10" s="15"/>
      <c r="V10" s="16"/>
      <c r="W10" s="15"/>
      <c r="X10" s="15"/>
      <c r="Y10" s="16"/>
      <c r="Z10" s="38"/>
      <c r="AA10" s="38"/>
      <c r="AB10" s="38"/>
      <c r="AC10" s="39"/>
      <c r="AD10" s="38"/>
      <c r="AE10" s="38"/>
      <c r="AF10" s="38"/>
      <c r="AG10" s="39"/>
      <c r="AH10" s="38"/>
      <c r="AI10" s="38"/>
      <c r="AJ10" s="40"/>
    </row>
    <row r="11" spans="1:36" x14ac:dyDescent="0.25">
      <c r="A11" s="10" t="s">
        <v>64</v>
      </c>
      <c r="B11" s="11">
        <v>2026</v>
      </c>
      <c r="C11" s="22" t="s">
        <v>12</v>
      </c>
      <c r="D11" s="13"/>
      <c r="E11" s="13"/>
      <c r="F11" s="13"/>
      <c r="G11" s="14"/>
      <c r="H11" s="13"/>
      <c r="I11" s="13"/>
      <c r="J11" s="13"/>
      <c r="K11" s="14"/>
      <c r="L11" s="13"/>
      <c r="M11" s="13"/>
      <c r="N11" s="14"/>
      <c r="O11" s="15"/>
      <c r="P11" s="15"/>
      <c r="Q11" s="15"/>
      <c r="R11" s="16"/>
      <c r="S11" s="15"/>
      <c r="T11" s="15"/>
      <c r="U11" s="15"/>
      <c r="V11" s="16"/>
      <c r="W11" s="15"/>
      <c r="X11" s="15"/>
      <c r="Y11" s="16"/>
      <c r="Z11" s="38"/>
      <c r="AA11" s="38"/>
      <c r="AB11" s="38"/>
      <c r="AC11" s="39"/>
      <c r="AD11" s="38"/>
      <c r="AE11" s="38"/>
      <c r="AF11" s="38"/>
      <c r="AG11" s="39"/>
      <c r="AH11" s="38"/>
      <c r="AI11" s="38"/>
      <c r="AJ11" s="40"/>
    </row>
    <row r="12" spans="1:36" x14ac:dyDescent="0.25">
      <c r="A12" s="10" t="s">
        <v>64</v>
      </c>
      <c r="B12" s="11">
        <v>2026</v>
      </c>
      <c r="C12" s="11" t="s">
        <v>13</v>
      </c>
      <c r="D12" s="13"/>
      <c r="E12" s="13"/>
      <c r="F12" s="13"/>
      <c r="G12" s="14"/>
      <c r="H12" s="13"/>
      <c r="I12" s="13"/>
      <c r="J12" s="13"/>
      <c r="K12" s="14"/>
      <c r="L12" s="13"/>
      <c r="M12" s="13"/>
      <c r="N12" s="14"/>
      <c r="O12" s="15"/>
      <c r="P12" s="15"/>
      <c r="Q12" s="15"/>
      <c r="R12" s="16"/>
      <c r="S12" s="15"/>
      <c r="T12" s="15"/>
      <c r="U12" s="15"/>
      <c r="V12" s="16"/>
      <c r="W12" s="15"/>
      <c r="X12" s="15"/>
      <c r="Y12" s="16"/>
      <c r="Z12" s="38"/>
      <c r="AA12" s="38"/>
      <c r="AB12" s="38"/>
      <c r="AC12" s="39"/>
      <c r="AD12" s="38"/>
      <c r="AE12" s="38"/>
      <c r="AF12" s="38"/>
      <c r="AG12" s="39"/>
      <c r="AH12" s="38"/>
      <c r="AI12" s="38"/>
      <c r="AJ12" s="40"/>
    </row>
    <row r="13" spans="1:36" x14ac:dyDescent="0.25">
      <c r="A13" s="23" t="s">
        <v>64</v>
      </c>
      <c r="B13" s="42">
        <v>2026</v>
      </c>
      <c r="C13" s="24" t="s">
        <v>14</v>
      </c>
      <c r="D13" s="25"/>
      <c r="E13" s="25"/>
      <c r="F13" s="25"/>
      <c r="G13" s="26"/>
      <c r="H13" s="25"/>
      <c r="I13" s="25"/>
      <c r="J13" s="25"/>
      <c r="K13" s="26"/>
      <c r="L13" s="25"/>
      <c r="M13" s="25"/>
      <c r="N13" s="26"/>
      <c r="O13" s="27"/>
      <c r="P13" s="27"/>
      <c r="Q13" s="27"/>
      <c r="R13" s="28"/>
      <c r="S13" s="27"/>
      <c r="T13" s="27"/>
      <c r="U13" s="27"/>
      <c r="V13" s="28"/>
      <c r="W13" s="27"/>
      <c r="X13" s="27"/>
      <c r="Y13" s="28"/>
      <c r="Z13" s="43"/>
      <c r="AA13" s="43"/>
      <c r="AB13" s="43"/>
      <c r="AC13" s="44"/>
      <c r="AD13" s="43"/>
      <c r="AE13" s="43"/>
      <c r="AF13" s="43"/>
      <c r="AG13" s="44"/>
      <c r="AH13" s="43"/>
      <c r="AI13" s="43"/>
      <c r="AJ13" s="45"/>
    </row>
    <row r="20" spans="24:24" x14ac:dyDescent="0.25">
      <c r="X20" s="46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0F8A-3B2F-4D9D-85AA-D86F8DFEE779}">
  <sheetPr codeName="Sheet14"/>
  <dimension ref="A1:AJ19"/>
  <sheetViews>
    <sheetView zoomScale="130" zoomScaleNormal="130" workbookViewId="0">
      <selection activeCell="AD9" sqref="AD9"/>
    </sheetView>
  </sheetViews>
  <sheetFormatPr defaultRowHeight="15" x14ac:dyDescent="0.25"/>
  <cols>
    <col min="1" max="1" width="18.85546875" customWidth="1"/>
    <col min="2" max="2" width="7.140625" customWidth="1"/>
    <col min="4" max="4" width="22.140625" customWidth="1"/>
    <col min="5" max="5" width="22.5703125" customWidth="1"/>
    <col min="6" max="6" width="23.5703125" customWidth="1"/>
    <col min="7" max="7" width="25.42578125" customWidth="1"/>
    <col min="8" max="8" width="25.140625" customWidth="1"/>
    <col min="9" max="9" width="24.5703125" customWidth="1"/>
    <col min="10" max="10" width="26.42578125" customWidth="1"/>
    <col min="11" max="11" width="28.28515625" customWidth="1"/>
    <col min="12" max="12" width="23.85546875" customWidth="1"/>
    <col min="13" max="13" width="22" customWidth="1"/>
    <col min="14" max="14" width="23.140625" customWidth="1"/>
    <col min="15" max="15" width="22.85546875" customWidth="1"/>
    <col min="16" max="16" width="23.42578125" customWidth="1"/>
    <col min="17" max="17" width="24.42578125" customWidth="1"/>
    <col min="18" max="18" width="26.140625" customWidth="1"/>
    <col min="19" max="19" width="25.85546875" customWidth="1"/>
    <col min="20" max="20" width="25.42578125" customWidth="1"/>
    <col min="21" max="21" width="27.28515625" customWidth="1"/>
    <col min="22" max="22" width="29.140625" customWidth="1"/>
    <col min="23" max="23" width="24.7109375" customWidth="1"/>
    <col min="24" max="24" width="22.85546875" customWidth="1"/>
    <col min="25" max="25" width="23.85546875" customWidth="1"/>
    <col min="26" max="26" width="25.42578125" customWidth="1"/>
    <col min="27" max="27" width="25.85546875" customWidth="1"/>
    <col min="28" max="28" width="26.7109375" customWidth="1"/>
    <col min="29" max="29" width="28.5703125" customWidth="1"/>
    <col min="30" max="30" width="28.28515625" customWidth="1"/>
    <col min="31" max="31" width="27.85546875" customWidth="1"/>
    <col min="32" max="32" width="29.7109375" customWidth="1"/>
    <col min="33" max="33" width="31.5703125" customWidth="1"/>
    <col min="34" max="34" width="27.140625" customWidth="1"/>
    <col min="35" max="35" width="25.28515625" customWidth="1"/>
    <col min="36" max="36" width="26.42578125" customWidth="1"/>
  </cols>
  <sheetData>
    <row r="1" spans="1:36" s="1" customFormat="1" ht="30" x14ac:dyDescent="0.25">
      <c r="A1" s="2" t="s">
        <v>0</v>
      </c>
      <c r="B1" s="3" t="s">
        <v>1</v>
      </c>
      <c r="C1" s="3" t="s">
        <v>2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56</v>
      </c>
      <c r="J1" s="4" t="s">
        <v>21</v>
      </c>
      <c r="K1" s="4" t="s">
        <v>22</v>
      </c>
      <c r="L1" s="4" t="s">
        <v>89</v>
      </c>
      <c r="M1" s="4" t="s">
        <v>23</v>
      </c>
      <c r="N1" s="4" t="s">
        <v>24</v>
      </c>
      <c r="O1" s="5" t="s">
        <v>25</v>
      </c>
      <c r="P1" s="5" t="s">
        <v>26</v>
      </c>
      <c r="Q1" s="5" t="s">
        <v>27</v>
      </c>
      <c r="R1" s="5" t="s">
        <v>28</v>
      </c>
      <c r="S1" s="5" t="s">
        <v>29</v>
      </c>
      <c r="T1" s="5" t="s">
        <v>55</v>
      </c>
      <c r="U1" s="5" t="s">
        <v>30</v>
      </c>
      <c r="V1" s="5" t="s">
        <v>31</v>
      </c>
      <c r="W1" s="5" t="s">
        <v>90</v>
      </c>
      <c r="X1" s="5" t="s">
        <v>32</v>
      </c>
      <c r="Y1" s="5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7" t="s">
        <v>57</v>
      </c>
      <c r="AF1" s="7" t="s">
        <v>39</v>
      </c>
      <c r="AG1" s="7" t="s">
        <v>40</v>
      </c>
      <c r="AH1" s="7" t="s">
        <v>91</v>
      </c>
      <c r="AI1" s="7" t="s">
        <v>41</v>
      </c>
      <c r="AJ1" s="35" t="s">
        <v>42</v>
      </c>
    </row>
    <row r="2" spans="1:36" x14ac:dyDescent="0.25">
      <c r="A2" s="10" t="s">
        <v>65</v>
      </c>
      <c r="B2" s="11">
        <v>2026</v>
      </c>
      <c r="C2" s="12" t="s">
        <v>3</v>
      </c>
      <c r="D2" s="13">
        <v>1960.4333333333336</v>
      </c>
      <c r="E2" s="13">
        <v>2797.4945299999995</v>
      </c>
      <c r="F2" s="13">
        <f>Table13678910[[#This Row],[Monthly Revenue Actuals]]-Table13678910[[#This Row],[Monthly Revenue Budget]]</f>
        <v>837.06119666666586</v>
      </c>
      <c r="G2" s="14">
        <f>(Table13678910[[#This Row],[Monthly Revenue Variance]]/Table13678910[[#This Row],[Monthly Revenue Budget]])*100</f>
        <v>42.697763929743374</v>
      </c>
      <c r="H2" s="13">
        <v>1960.4333333333336</v>
      </c>
      <c r="I2" s="13">
        <v>2797.4945299999995</v>
      </c>
      <c r="J2" s="13">
        <f>Table13678910[[#This Row],[Cumulative Revenue Actuals]]-Table13678910[[#This Row],[Cumulative Revenue Budget]]</f>
        <v>837.06119666666586</v>
      </c>
      <c r="K2" s="14">
        <f>(Table13678910[[#This Row],[Cumulative Revenue Variance]]/Table13678910[[#This Row],[Cumulative Revenue Budget]])*100</f>
        <v>42.697763929743374</v>
      </c>
      <c r="L2" s="13">
        <v>118970</v>
      </c>
      <c r="M2" s="13">
        <f>Table13678910[[#This Row],[Revenue Total Budget 2026]]-Table13678910[[#This Row],[Cumulative Revenue Actuals]]</f>
        <v>116172.50547</v>
      </c>
      <c r="N2" s="14">
        <f>(Table13678910[[#This Row],[Revenue To Be Achieved ]]/Table13678910[[#This Row],[Revenue Total Budget 2026]])*100</f>
        <v>97.648571463394134</v>
      </c>
      <c r="O2" s="15">
        <v>4858</v>
      </c>
      <c r="P2" s="15">
        <v>2948.07798</v>
      </c>
      <c r="Q2" s="15">
        <f>Table13678910[[#This Row],[Monthly Expenses Budget]]-Table13678910[[#This Row],[Monthly Expenses Actuals]]</f>
        <v>1909.92202</v>
      </c>
      <c r="R2" s="16">
        <f>(Table13678910[[#This Row],[Monthly Expenses Variance]]/Table13678910[[#This Row],[Monthly Expenses Budget]])*100</f>
        <v>39.314986002470157</v>
      </c>
      <c r="S2" s="15">
        <v>4858</v>
      </c>
      <c r="T2" s="15">
        <v>2948.07798</v>
      </c>
      <c r="U2" s="15">
        <f>Table13678910[[#This Row],[Cumulative Expenses Budget]]-Table13678910[[#This Row],[Cumulative Expenses Actuals]]</f>
        <v>1909.92202</v>
      </c>
      <c r="V2" s="16">
        <f>(Table13678910[[#This Row],[Cumulative Expenses Variance]]/Table13678910[[#This Row],[Cumulative Expenses Budget]])*100</f>
        <v>39.314986002470157</v>
      </c>
      <c r="W2" s="15">
        <v>72951</v>
      </c>
      <c r="X2" s="15">
        <f>Table13678910[[#This Row],[Expenses Total Budget 2026]]-Table13678910[[#This Row],[Cumulative Expenses Actuals]]</f>
        <v>70002.922019999998</v>
      </c>
      <c r="Y2" s="16">
        <f>(Table13678910[[#This Row],[Expenses To Be Achieved ]]/Table13678910[[#This Row],[Expenses Total Budget 2026]])*100</f>
        <v>95.958824443804744</v>
      </c>
      <c r="Z2" s="38">
        <v>-2898</v>
      </c>
      <c r="AA2" s="38">
        <v>-150.58345000000054</v>
      </c>
      <c r="AB2" s="38">
        <f>Table13678910[[#This Row],[Monthly Contribution Actuals]]-Table13678910[[#This Row],[Monthly Contribution Budget]]</f>
        <v>2747.4165499999995</v>
      </c>
      <c r="AC2" s="39">
        <f>-(Table13678910[[#This Row],[Monthly Contribution Variance]]/Table13678910[[#This Row],[Monthly Contribution Budget]])*100</f>
        <v>94.803883712905431</v>
      </c>
      <c r="AD2" s="38">
        <v>-2898</v>
      </c>
      <c r="AE2" s="38">
        <v>-150.58345000000054</v>
      </c>
      <c r="AF2" s="38">
        <f>Table13678910[[#This Row],[Cumulative Contribution Actuals]]-Table13678910[[#This Row],[Cumulative Contribution Budget]]</f>
        <v>2747.4165499999995</v>
      </c>
      <c r="AG2" s="39">
        <f>-(Table13678910[[#This Row],[Cumulative Contribution Variance]]/Table13678910[[#This Row],[Cumulative Contribution Budget]])*100</f>
        <v>94.803883712905431</v>
      </c>
      <c r="AH2" s="38">
        <v>46018</v>
      </c>
      <c r="AI2" s="38">
        <f>Table13678910[[#This Row],[Contribution Total Budget 2026]]-Table13678910[[#This Row],[Cumulative Contribution Actuals]]</f>
        <v>46168.583449999998</v>
      </c>
      <c r="AJ2" s="40">
        <f>(Table13678910[[#This Row],[Contribution To Be Achieved ]]/Table13678910[[#This Row],[Contribution Total Budget 2026]])*100</f>
        <v>100.3272272806293</v>
      </c>
    </row>
    <row r="3" spans="1:36" x14ac:dyDescent="0.25">
      <c r="A3" s="10" t="s">
        <v>65</v>
      </c>
      <c r="B3" s="11">
        <v>2026</v>
      </c>
      <c r="C3" s="22" t="s">
        <v>4</v>
      </c>
      <c r="D3" s="13">
        <v>3760.4333333333334</v>
      </c>
      <c r="E3" s="13">
        <v>1324.833000000001</v>
      </c>
      <c r="F3" s="13">
        <f>Table13678910[[#This Row],[Monthly Revenue Actuals]]-Table13678910[[#This Row],[Monthly Revenue Budget]]</f>
        <v>-2435.6003333333324</v>
      </c>
      <c r="G3" s="14">
        <f>(Table13678910[[#This Row],[Monthly Revenue Variance]]/Table13678910[[#This Row],[Monthly Revenue Budget]])*100</f>
        <v>-64.769140081373578</v>
      </c>
      <c r="H3" s="13">
        <v>5720.8666666666668</v>
      </c>
      <c r="I3" s="13">
        <v>4122.3275300000005</v>
      </c>
      <c r="J3" s="13">
        <f>Table13678910[[#This Row],[Cumulative Revenue Actuals]]-Table13678910[[#This Row],[Cumulative Revenue Budget]]</f>
        <v>-1598.5391366666663</v>
      </c>
      <c r="K3" s="14">
        <f>(Table13678910[[#This Row],[Cumulative Revenue Variance]]/Table13678910[[#This Row],[Cumulative Revenue Budget]])*100</f>
        <v>-27.942254728304562</v>
      </c>
      <c r="L3" s="13">
        <v>118970</v>
      </c>
      <c r="M3" s="13">
        <f>Table13678910[[#This Row],[Revenue Total Budget 2026]]-Table13678910[[#This Row],[Cumulative Revenue Actuals]]</f>
        <v>114847.67247</v>
      </c>
      <c r="N3" s="14">
        <f>(Table13678910[[#This Row],[Revenue To Be Achieved ]]/Table13678910[[#This Row],[Revenue Total Budget 2026]])*100</f>
        <v>96.534985685466935</v>
      </c>
      <c r="O3" s="15">
        <v>4859</v>
      </c>
      <c r="P3" s="15">
        <v>2376.92202</v>
      </c>
      <c r="Q3" s="15">
        <f>Table13678910[[#This Row],[Monthly Expenses Budget]]-Table13678910[[#This Row],[Monthly Expenses Actuals]]</f>
        <v>2482.07798</v>
      </c>
      <c r="R3" s="16">
        <f>(Table13678910[[#This Row],[Monthly Expenses Variance]]/Table13678910[[#This Row],[Monthly Expenses Budget]])*100</f>
        <v>51.082074089318787</v>
      </c>
      <c r="S3" s="15">
        <v>9717</v>
      </c>
      <c r="T3" s="15">
        <v>5325</v>
      </c>
      <c r="U3" s="15">
        <f>Table13678910[[#This Row],[Cumulative Expenses Budget]]-Table13678910[[#This Row],[Cumulative Expenses Actuals]]</f>
        <v>4392</v>
      </c>
      <c r="V3" s="16">
        <f>(Table13678910[[#This Row],[Cumulative Expenses Variance]]/Table13678910[[#This Row],[Cumulative Expenses Budget]])*100</f>
        <v>45.199135535659153</v>
      </c>
      <c r="W3" s="15">
        <v>72951</v>
      </c>
      <c r="X3" s="15">
        <f>Table13678910[[#This Row],[Expenses Total Budget 2026]]-Table13678910[[#This Row],[Cumulative Expenses Actuals]]</f>
        <v>67626</v>
      </c>
      <c r="Y3" s="16">
        <f>(Table13678910[[#This Row],[Expenses To Be Achieved ]]/Table13678910[[#This Row],[Expenses Total Budget 2026]])*100</f>
        <v>92.700579841263306</v>
      </c>
      <c r="Z3" s="38">
        <v>-1098</v>
      </c>
      <c r="AA3" s="38">
        <v>-1051.4165499999995</v>
      </c>
      <c r="AB3" s="38">
        <f>Table13678910[[#This Row],[Monthly Contribution Actuals]]-Table13678910[[#This Row],[Monthly Contribution Budget]]</f>
        <v>46.583450000000539</v>
      </c>
      <c r="AC3" s="39">
        <f>-(Table13678910[[#This Row],[Monthly Contribution Variance]]/Table13678910[[#This Row],[Monthly Contribution Budget]])*100</f>
        <v>4.2425728597450396</v>
      </c>
      <c r="AD3" s="38">
        <v>-3996</v>
      </c>
      <c r="AE3" s="38">
        <v>-1202</v>
      </c>
      <c r="AF3" s="38">
        <f>Table13678910[[#This Row],[Cumulative Contribution Actuals]]-Table13678910[[#This Row],[Cumulative Contribution Budget]]</f>
        <v>2794</v>
      </c>
      <c r="AG3" s="39">
        <f>-(Table13678910[[#This Row],[Cumulative Contribution Variance]]/Table13678910[[#This Row],[Cumulative Contribution Budget]])*100</f>
        <v>69.91991991991992</v>
      </c>
      <c r="AH3" s="38">
        <v>46018</v>
      </c>
      <c r="AI3" s="38">
        <f>Table13678910[[#This Row],[Contribution Total Budget 2026]]-Table13678910[[#This Row],[Cumulative Contribution Actuals]]</f>
        <v>47220</v>
      </c>
      <c r="AJ3" s="40">
        <f>(Table13678910[[#This Row],[Contribution To Be Achieved ]]/Table13678910[[#This Row],[Contribution Total Budget 2026]])*100</f>
        <v>102.6120213829371</v>
      </c>
    </row>
    <row r="4" spans="1:36" x14ac:dyDescent="0.25">
      <c r="A4" s="10" t="s">
        <v>65</v>
      </c>
      <c r="B4" s="11">
        <v>2026</v>
      </c>
      <c r="C4" s="11" t="s">
        <v>5</v>
      </c>
      <c r="D4" s="13">
        <v>7033.1333333333332</v>
      </c>
      <c r="E4" s="13">
        <v>8130.6724699999995</v>
      </c>
      <c r="F4" s="13">
        <f>Table13678910[[#This Row],[Monthly Revenue Actuals]]-Table13678910[[#This Row],[Monthly Revenue Budget]]</f>
        <v>1097.5391366666663</v>
      </c>
      <c r="G4" s="14">
        <f>(Table13678910[[#This Row],[Monthly Revenue Variance]]/Table13678910[[#This Row],[Monthly Revenue Budget]])*100</f>
        <v>15.605265599969661</v>
      </c>
      <c r="H4" s="13">
        <v>12754</v>
      </c>
      <c r="I4" s="13">
        <v>12253</v>
      </c>
      <c r="J4" s="13">
        <f>Table13678910[[#This Row],[Cumulative Revenue Actuals]]-Table13678910[[#This Row],[Cumulative Revenue Budget]]</f>
        <v>-501</v>
      </c>
      <c r="K4" s="14">
        <f>(Table13678910[[#This Row],[Cumulative Revenue Variance]]/Table13678910[[#This Row],[Cumulative Revenue Budget]])*100</f>
        <v>-3.9281793946997019</v>
      </c>
      <c r="L4" s="13">
        <v>118970</v>
      </c>
      <c r="M4" s="13">
        <f>Table13678910[[#This Row],[Revenue Total Budget 2026]]-Table13678910[[#This Row],[Cumulative Revenue Actuals]]</f>
        <v>106717</v>
      </c>
      <c r="N4" s="14">
        <f>(Table13678910[[#This Row],[Revenue To Be Achieved ]]/Table13678910[[#This Row],[Revenue Total Budget 2026]])*100</f>
        <v>89.700764898713956</v>
      </c>
      <c r="O4" s="15">
        <v>4858</v>
      </c>
      <c r="P4" s="15">
        <v>3776</v>
      </c>
      <c r="Q4" s="15">
        <f>Table13678910[[#This Row],[Monthly Expenses Budget]]-Table13678910[[#This Row],[Monthly Expenses Actuals]]</f>
        <v>1082</v>
      </c>
      <c r="R4" s="16">
        <f>(Table13678910[[#This Row],[Monthly Expenses Variance]]/Table13678910[[#This Row],[Monthly Expenses Budget]])*100</f>
        <v>22.272540139975298</v>
      </c>
      <c r="S4" s="15">
        <v>14575</v>
      </c>
      <c r="T4" s="15">
        <v>9101</v>
      </c>
      <c r="U4" s="15">
        <f>Table13678910[[#This Row],[Cumulative Expenses Budget]]-Table13678910[[#This Row],[Cumulative Expenses Actuals]]</f>
        <v>5474</v>
      </c>
      <c r="V4" s="16">
        <f>(Table13678910[[#This Row],[Cumulative Expenses Variance]]/Table13678910[[#This Row],[Cumulative Expenses Budget]])*100</f>
        <v>37.557461406518009</v>
      </c>
      <c r="W4" s="15">
        <v>72951</v>
      </c>
      <c r="X4" s="15">
        <f>Table13678910[[#This Row],[Expenses Total Budget 2026]]-Table13678910[[#This Row],[Cumulative Expenses Actuals]]</f>
        <v>63850</v>
      </c>
      <c r="Y4" s="16">
        <f>(Table13678910[[#This Row],[Expenses To Be Achieved ]]/Table13678910[[#This Row],[Expenses Total Budget 2026]])*100</f>
        <v>87.524502748420176</v>
      </c>
      <c r="Z4" s="38">
        <v>2175</v>
      </c>
      <c r="AA4" s="38">
        <v>4353</v>
      </c>
      <c r="AB4" s="38">
        <f>Table13678910[[#This Row],[Monthly Contribution Actuals]]-Table13678910[[#This Row],[Monthly Contribution Budget]]</f>
        <v>2178</v>
      </c>
      <c r="AC4" s="39">
        <f>(Table13678910[[#This Row],[Monthly Contribution Variance]]/Table13678910[[#This Row],[Monthly Contribution Budget]])*100</f>
        <v>100.13793103448276</v>
      </c>
      <c r="AD4" s="38">
        <v>-1821</v>
      </c>
      <c r="AE4" s="38">
        <v>3151</v>
      </c>
      <c r="AF4" s="38">
        <f>Table13678910[[#This Row],[Cumulative Contribution Actuals]]-Table13678910[[#This Row],[Cumulative Contribution Budget]]</f>
        <v>4972</v>
      </c>
      <c r="AG4" s="39">
        <f>-(Table13678910[[#This Row],[Cumulative Contribution Variance]]/Table13678910[[#This Row],[Cumulative Contribution Budget]])*100</f>
        <v>273.03679297089508</v>
      </c>
      <c r="AH4" s="38">
        <v>46018</v>
      </c>
      <c r="AI4" s="38">
        <f>Table13678910[[#This Row],[Contribution Total Budget 2026]]-Table13678910[[#This Row],[Cumulative Contribution Actuals]]</f>
        <v>42867</v>
      </c>
      <c r="AJ4" s="40">
        <f>(Table13678910[[#This Row],[Contribution To Be Achieved ]]/Table13678910[[#This Row],[Contribution Total Budget 2026]])*100</f>
        <v>93.15267938632708</v>
      </c>
    </row>
    <row r="5" spans="1:36" x14ac:dyDescent="0.25">
      <c r="A5" s="10" t="s">
        <v>65</v>
      </c>
      <c r="B5" s="11">
        <v>2026</v>
      </c>
      <c r="C5" s="22" t="s">
        <v>6</v>
      </c>
      <c r="D5" s="13">
        <v>8730</v>
      </c>
      <c r="E5" s="13">
        <v>4362</v>
      </c>
      <c r="F5" s="13">
        <f>Table13678910[[#This Row],[Monthly Revenue Actuals]]-Table13678910[[#This Row],[Monthly Revenue Budget]]</f>
        <v>-4368</v>
      </c>
      <c r="G5" s="14">
        <f>(Table13678910[[#This Row],[Monthly Revenue Variance]]/Table13678910[[#This Row],[Monthly Revenue Budget]])*100</f>
        <v>-50.034364261168385</v>
      </c>
      <c r="H5" s="13">
        <v>21484</v>
      </c>
      <c r="I5" s="13">
        <v>16615</v>
      </c>
      <c r="J5" s="13">
        <f>Table13678910[[#This Row],[Cumulative Revenue Actuals]]-Table13678910[[#This Row],[Cumulative Revenue Budget]]</f>
        <v>-4869</v>
      </c>
      <c r="K5" s="14">
        <f>(Table13678910[[#This Row],[Cumulative Revenue Variance]]/Table13678910[[#This Row],[Cumulative Revenue Budget]])*100</f>
        <v>-22.663377397132749</v>
      </c>
      <c r="L5" s="13">
        <v>118970</v>
      </c>
      <c r="M5" s="13">
        <f>Table13678910[[#This Row],[Revenue Total Budget 2026]]-Table13678910[[#This Row],[Cumulative Revenue Actuals]]</f>
        <v>102355</v>
      </c>
      <c r="N5" s="14">
        <f>(Table13678910[[#This Row],[Revenue To Be Achieved ]]/Table13678910[[#This Row],[Revenue Total Budget 2026]])*100</f>
        <v>86.034294359922669</v>
      </c>
      <c r="O5" s="15">
        <v>4481</v>
      </c>
      <c r="P5" s="15">
        <v>2949</v>
      </c>
      <c r="Q5" s="15">
        <f>Table13678910[[#This Row],[Monthly Expenses Budget]]-Table13678910[[#This Row],[Monthly Expenses Actuals]]</f>
        <v>1532</v>
      </c>
      <c r="R5" s="16">
        <f>(Table13678910[[#This Row],[Monthly Expenses Variance]]/Table13678910[[#This Row],[Monthly Expenses Budget]])*100</f>
        <v>34.188797143494753</v>
      </c>
      <c r="S5" s="15">
        <v>19056</v>
      </c>
      <c r="T5" s="15">
        <v>12050</v>
      </c>
      <c r="U5" s="15">
        <f>Table13678910[[#This Row],[Cumulative Expenses Budget]]-Table13678910[[#This Row],[Cumulative Expenses Actuals]]</f>
        <v>7006</v>
      </c>
      <c r="V5" s="16">
        <f>(Table13678910[[#This Row],[Cumulative Expenses Variance]]/Table13678910[[#This Row],[Cumulative Expenses Budget]])*100</f>
        <v>36.765323257766582</v>
      </c>
      <c r="W5" s="15">
        <v>72951</v>
      </c>
      <c r="X5" s="15">
        <f>Table13678910[[#This Row],[Expenses Total Budget 2026]]-Table13678910[[#This Row],[Cumulative Expenses Actuals]]</f>
        <v>60901</v>
      </c>
      <c r="Y5" s="16">
        <f>(Table13678910[[#This Row],[Expenses To Be Achieved ]]/Table13678910[[#This Row],[Expenses Total Budget 2026]])*100</f>
        <v>83.482063302764871</v>
      </c>
      <c r="Z5" s="38">
        <v>4249</v>
      </c>
      <c r="AA5" s="38">
        <v>1414</v>
      </c>
      <c r="AB5" s="38">
        <f>Table13678910[[#This Row],[Monthly Contribution Actuals]]-Table13678910[[#This Row],[Monthly Contribution Budget]]</f>
        <v>-2835</v>
      </c>
      <c r="AC5" s="39">
        <f>(Table13678910[[#This Row],[Monthly Contribution Variance]]/Table13678910[[#This Row],[Monthly Contribution Budget]])*100</f>
        <v>-66.721581548599673</v>
      </c>
      <c r="AD5" s="38">
        <v>2428</v>
      </c>
      <c r="AE5" s="38">
        <v>4565</v>
      </c>
      <c r="AF5" s="38">
        <f>Table13678910[[#This Row],[Cumulative Contribution Actuals]]-Table13678910[[#This Row],[Cumulative Contribution Budget]]</f>
        <v>2137</v>
      </c>
      <c r="AG5" s="39">
        <f>(Table13678910[[#This Row],[Cumulative Contribution Variance]]/Table13678910[[#This Row],[Cumulative Contribution Budget]])*100</f>
        <v>88.014827018121906</v>
      </c>
      <c r="AH5" s="38">
        <v>46018</v>
      </c>
      <c r="AI5" s="38">
        <f>Table13678910[[#This Row],[Contribution Total Budget 2026]]-Table13678910[[#This Row],[Cumulative Contribution Actuals]]</f>
        <v>41453</v>
      </c>
      <c r="AJ5" s="40">
        <f>(Table13678910[[#This Row],[Contribution To Be Achieved ]]/Table13678910[[#This Row],[Contribution Total Budget 2026]])*100</f>
        <v>90.07996870789691</v>
      </c>
    </row>
    <row r="6" spans="1:36" x14ac:dyDescent="0.25">
      <c r="A6" s="10" t="s">
        <v>65</v>
      </c>
      <c r="B6" s="11">
        <v>2026</v>
      </c>
      <c r="C6" s="11" t="s">
        <v>7</v>
      </c>
      <c r="D6" s="13">
        <v>8556</v>
      </c>
      <c r="E6" s="13">
        <v>9374</v>
      </c>
      <c r="F6" s="13">
        <f>Table13678910[[#This Row],[Monthly Revenue Actuals]]-Table13678910[[#This Row],[Monthly Revenue Budget]]</f>
        <v>818</v>
      </c>
      <c r="G6" s="14">
        <f>(Table13678910[[#This Row],[Monthly Revenue Variance]]/Table13678910[[#This Row],[Monthly Revenue Budget]])*100</f>
        <v>9.5605423094904154</v>
      </c>
      <c r="H6" s="13">
        <v>30040</v>
      </c>
      <c r="I6" s="13">
        <v>25989</v>
      </c>
      <c r="J6" s="13">
        <f>Table13678910[[#This Row],[Cumulative Revenue Actuals]]-Table13678910[[#This Row],[Cumulative Revenue Budget]]</f>
        <v>-4051</v>
      </c>
      <c r="K6" s="14">
        <f>(Table13678910[[#This Row],[Cumulative Revenue Variance]]/Table13678910[[#This Row],[Cumulative Revenue Budget]])*100</f>
        <v>-13.485352862849535</v>
      </c>
      <c r="L6" s="13">
        <v>118970</v>
      </c>
      <c r="M6" s="13">
        <f>Table13678910[[#This Row],[Revenue Total Budget 2026]]-Table13678910[[#This Row],[Cumulative Revenue Actuals]]</f>
        <v>92981</v>
      </c>
      <c r="N6" s="14">
        <f>(Table13678910[[#This Row],[Revenue To Be Achieved ]]/Table13678910[[#This Row],[Revenue Total Budget 2026]])*100</f>
        <v>78.154997058081861</v>
      </c>
      <c r="O6" s="15">
        <v>10665</v>
      </c>
      <c r="P6" s="15">
        <v>4595</v>
      </c>
      <c r="Q6" s="15">
        <f>Table13678910[[#This Row],[Monthly Expenses Budget]]-Table13678910[[#This Row],[Monthly Expenses Actuals]]</f>
        <v>6070</v>
      </c>
      <c r="R6" s="16">
        <f>(Table13678910[[#This Row],[Monthly Expenses Variance]]/Table13678910[[#This Row],[Monthly Expenses Budget]])*100</f>
        <v>56.91514299109236</v>
      </c>
      <c r="S6" s="15">
        <v>29721</v>
      </c>
      <c r="T6" s="15">
        <v>16645</v>
      </c>
      <c r="U6" s="15">
        <f>Table13678910[[#This Row],[Cumulative Expenses Budget]]-Table13678910[[#This Row],[Cumulative Expenses Actuals]]</f>
        <v>13076</v>
      </c>
      <c r="V6" s="16">
        <f>(Table13678910[[#This Row],[Cumulative Expenses Variance]]/Table13678910[[#This Row],[Cumulative Expenses Budget]])*100</f>
        <v>43.995827865818782</v>
      </c>
      <c r="W6" s="15">
        <v>72951</v>
      </c>
      <c r="X6" s="15">
        <f>Table13678910[[#This Row],[Expenses Total Budget 2026]]-Table13678910[[#This Row],[Cumulative Expenses Actuals]]</f>
        <v>56306</v>
      </c>
      <c r="Y6" s="16">
        <f>(Table13678910[[#This Row],[Expenses To Be Achieved ]]/Table13678910[[#This Row],[Expenses Total Budget 2026]])*100</f>
        <v>77.183314827761095</v>
      </c>
      <c r="Z6" s="38">
        <v>-2110</v>
      </c>
      <c r="AA6" s="38">
        <v>4779</v>
      </c>
      <c r="AB6" s="38">
        <f>Table13678910[[#This Row],[Monthly Contribution Actuals]]-Table13678910[[#This Row],[Monthly Contribution Budget]]</f>
        <v>6889</v>
      </c>
      <c r="AC6" s="39">
        <f>-(Table13678910[[#This Row],[Monthly Contribution Variance]]/Table13678910[[#This Row],[Monthly Contribution Budget]])*100</f>
        <v>326.49289099526067</v>
      </c>
      <c r="AD6" s="38">
        <v>318</v>
      </c>
      <c r="AE6" s="38">
        <v>9344</v>
      </c>
      <c r="AF6" s="38">
        <f>Table13678910[[#This Row],[Cumulative Contribution Actuals]]-Table13678910[[#This Row],[Cumulative Contribution Budget]]</f>
        <v>9026</v>
      </c>
      <c r="AG6" s="39">
        <f>(Table13678910[[#This Row],[Cumulative Contribution Variance]]/Table13678910[[#This Row],[Cumulative Contribution Budget]])*100</f>
        <v>2838.364779874214</v>
      </c>
      <c r="AH6" s="38">
        <v>46018</v>
      </c>
      <c r="AI6" s="38">
        <f>Table13678910[[#This Row],[Contribution Total Budget 2026]]-Table13678910[[#This Row],[Cumulative Contribution Actuals]]</f>
        <v>36674</v>
      </c>
      <c r="AJ6" s="40">
        <f>(Table13678910[[#This Row],[Contribution To Be Achieved ]]/Table13678910[[#This Row],[Contribution Total Budget 2026]])*100</f>
        <v>79.694901994871572</v>
      </c>
    </row>
    <row r="7" spans="1:36" x14ac:dyDescent="0.25">
      <c r="A7" s="10" t="s">
        <v>65</v>
      </c>
      <c r="B7" s="11">
        <v>2026</v>
      </c>
      <c r="C7" s="22" t="s">
        <v>8</v>
      </c>
      <c r="D7" s="13">
        <v>7912</v>
      </c>
      <c r="E7" s="13">
        <v>8050</v>
      </c>
      <c r="F7" s="13">
        <f>Table13678910[[#This Row],[Monthly Revenue Actuals]]-Table13678910[[#This Row],[Monthly Revenue Budget]]</f>
        <v>138</v>
      </c>
      <c r="G7" s="14">
        <f>(Table13678910[[#This Row],[Monthly Revenue Variance]]/Table13678910[[#This Row],[Monthly Revenue Budget]])*100</f>
        <v>1.7441860465116279</v>
      </c>
      <c r="H7" s="13">
        <v>37952</v>
      </c>
      <c r="I7" s="13">
        <v>34039</v>
      </c>
      <c r="J7" s="13">
        <f>Table13678910[[#This Row],[Cumulative Revenue Actuals]]-Table13678910[[#This Row],[Cumulative Revenue Budget]]</f>
        <v>-3913</v>
      </c>
      <c r="K7" s="14">
        <f>(Table13678910[[#This Row],[Cumulative Revenue Variance]]/Table13678910[[#This Row],[Cumulative Revenue Budget]])*100</f>
        <v>-10.310392074198989</v>
      </c>
      <c r="L7" s="13">
        <v>118970</v>
      </c>
      <c r="M7" s="13">
        <f>Table13678910[[#This Row],[Revenue Total Budget 2026]]-Table13678910[[#This Row],[Cumulative Revenue Actuals]]</f>
        <v>84931</v>
      </c>
      <c r="N7" s="14">
        <f>(Table13678910[[#This Row],[Revenue To Be Achieved ]]/Table13678910[[#This Row],[Revenue Total Budget 2026]])*100</f>
        <v>71.388585357653184</v>
      </c>
      <c r="O7" s="15">
        <v>5904</v>
      </c>
      <c r="P7" s="15">
        <v>5002</v>
      </c>
      <c r="Q7" s="15">
        <f>Table13678910[[#This Row],[Monthly Expenses Budget]]-Table13678910[[#This Row],[Monthly Expenses Actuals]]</f>
        <v>902</v>
      </c>
      <c r="R7" s="16">
        <f>(Table13678910[[#This Row],[Monthly Expenses Variance]]/Table13678910[[#This Row],[Monthly Expenses Budget]])*100</f>
        <v>15.277777777777779</v>
      </c>
      <c r="S7" s="15">
        <v>35626</v>
      </c>
      <c r="T7" s="15">
        <v>21647</v>
      </c>
      <c r="U7" s="15">
        <f>Table13678910[[#This Row],[Cumulative Expenses Budget]]-Table13678910[[#This Row],[Cumulative Expenses Actuals]]</f>
        <v>13979</v>
      </c>
      <c r="V7" s="16">
        <f>(Table13678910[[#This Row],[Cumulative Expenses Variance]]/Table13678910[[#This Row],[Cumulative Expenses Budget]])*100</f>
        <v>39.238196822545333</v>
      </c>
      <c r="W7" s="15">
        <v>72951</v>
      </c>
      <c r="X7" s="15">
        <f>Table13678910[[#This Row],[Expenses Total Budget 2026]]-Table13678910[[#This Row],[Cumulative Expenses Actuals]]</f>
        <v>51304</v>
      </c>
      <c r="Y7" s="16">
        <f>(Table13678910[[#This Row],[Expenses To Be Achieved ]]/Table13678910[[#This Row],[Expenses Total Budget 2026]])*100</f>
        <v>70.326657619498022</v>
      </c>
      <c r="Z7" s="38">
        <v>2008</v>
      </c>
      <c r="AA7" s="38">
        <v>3048</v>
      </c>
      <c r="AB7" s="38">
        <f>Table13678910[[#This Row],[Monthly Contribution Actuals]]-Table13678910[[#This Row],[Monthly Contribution Budget]]</f>
        <v>1040</v>
      </c>
      <c r="AC7" s="39">
        <f>-(Table13678910[[#This Row],[Monthly Contribution Variance]]/Table13678910[[#This Row],[Monthly Contribution Budget]])*100</f>
        <v>-51.792828685258961</v>
      </c>
      <c r="AD7" s="38">
        <v>2326</v>
      </c>
      <c r="AE7" s="38">
        <v>12392</v>
      </c>
      <c r="AF7" s="38">
        <f>Table13678910[[#This Row],[Cumulative Contribution Actuals]]-Table13678910[[#This Row],[Cumulative Contribution Budget]]</f>
        <v>10066</v>
      </c>
      <c r="AG7" s="39">
        <f>(Table13678910[[#This Row],[Cumulative Contribution Variance]]/Table13678910[[#This Row],[Cumulative Contribution Budget]])*100</f>
        <v>432.76010318142733</v>
      </c>
      <c r="AH7" s="38">
        <v>46018</v>
      </c>
      <c r="AI7" s="38">
        <f>Table13678910[[#This Row],[Contribution Total Budget 2026]]-Table13678910[[#This Row],[Cumulative Contribution Actuals]]</f>
        <v>33626</v>
      </c>
      <c r="AJ7" s="40">
        <f>(Table13678910[[#This Row],[Contribution To Be Achieved ]]/Table13678910[[#This Row],[Contribution Total Budget 2026]])*100</f>
        <v>73.071406840801416</v>
      </c>
    </row>
    <row r="8" spans="1:36" x14ac:dyDescent="0.25">
      <c r="A8" s="10" t="s">
        <v>65</v>
      </c>
      <c r="B8" s="11">
        <v>2026</v>
      </c>
      <c r="C8" s="11" t="s">
        <v>9</v>
      </c>
      <c r="D8" s="13">
        <f>Table13678910[[#This Row],[Cumulative Revenue Budget]]-H7</f>
        <v>19620</v>
      </c>
      <c r="E8" s="13">
        <f>Table13678910[[#This Row],[Cumulative Revenue Actuals]]-I7</f>
        <v>17753</v>
      </c>
      <c r="F8" s="13">
        <f>Table13678910[[#This Row],[Monthly Revenue Actuals]]-Table13678910[[#This Row],[Monthly Revenue Budget]]</f>
        <v>-1867</v>
      </c>
      <c r="G8" s="14">
        <f>(Table13678910[[#This Row],[Monthly Revenue Variance]]/Table13678910[[#This Row],[Monthly Revenue Budget]])*100</f>
        <v>-9.5158002038735976</v>
      </c>
      <c r="H8" s="13">
        <v>57572</v>
      </c>
      <c r="I8" s="13">
        <v>51792</v>
      </c>
      <c r="J8" s="13">
        <f>Table13678910[[#This Row],[Cumulative Revenue Actuals]]-Table13678910[[#This Row],[Cumulative Revenue Budget]]</f>
        <v>-5780</v>
      </c>
      <c r="K8" s="14">
        <f>(Table13678910[[#This Row],[Cumulative Revenue Variance]]/Table13678910[[#This Row],[Cumulative Revenue Budget]])*100</f>
        <v>-10.039602584589732</v>
      </c>
      <c r="L8" s="13">
        <v>118970</v>
      </c>
      <c r="M8" s="13">
        <f>Table13678910[[#This Row],[Revenue Total Budget 2026]]-Table13678910[[#This Row],[Cumulative Revenue Actuals]]</f>
        <v>67178</v>
      </c>
      <c r="N8" s="14">
        <f>(Table13678910[[#This Row],[Revenue To Be Achieved ]]/Table13678910[[#This Row],[Revenue Total Budget 2026]])*100</f>
        <v>56.466336051105323</v>
      </c>
      <c r="O8" s="15">
        <f>Table13678910[[#This Row],[Cumulative Expenses Budget]]-S7</f>
        <v>5904</v>
      </c>
      <c r="P8" s="15">
        <f>Table13678910[[#This Row],[Cumulative Expenses Actuals]]-T7</f>
        <v>5860</v>
      </c>
      <c r="Q8" s="15">
        <f>Table13678910[[#This Row],[Monthly Expenses Budget]]-Table13678910[[#This Row],[Monthly Expenses Actuals]]</f>
        <v>44</v>
      </c>
      <c r="R8" s="16">
        <f>(Table13678910[[#This Row],[Monthly Expenses Variance]]/Table13678910[[#This Row],[Monthly Expenses Budget]])*100</f>
        <v>0.74525745257452569</v>
      </c>
      <c r="S8" s="15">
        <v>41530</v>
      </c>
      <c r="T8" s="15">
        <v>27507</v>
      </c>
      <c r="U8" s="15">
        <f>Table13678910[[#This Row],[Cumulative Expenses Budget]]-Table13678910[[#This Row],[Cumulative Expenses Actuals]]</f>
        <v>14023</v>
      </c>
      <c r="V8" s="16">
        <f>(Table13678910[[#This Row],[Cumulative Expenses Variance]]/Table13678910[[#This Row],[Cumulative Expenses Budget]])*100</f>
        <v>33.765952323621477</v>
      </c>
      <c r="W8" s="15">
        <v>72951</v>
      </c>
      <c r="X8" s="15">
        <f>Table13678910[[#This Row],[Expenses Total Budget 2026]]-Table13678910[[#This Row],[Cumulative Expenses Actuals]]</f>
        <v>45444</v>
      </c>
      <c r="Y8" s="16">
        <f>(Table13678910[[#This Row],[Expenses To Be Achieved ]]/Table13678910[[#This Row],[Expenses Total Budget 2026]])*100</f>
        <v>62.293868487066661</v>
      </c>
      <c r="Z8" s="38">
        <f>Table13678910[[#This Row],[Cumulative Contribution Budget]]-AD7</f>
        <v>13716</v>
      </c>
      <c r="AA8" s="38">
        <f>Table13678910[[#This Row],[Cumulative Contribution Actuals]]-AE7</f>
        <v>11893</v>
      </c>
      <c r="AB8" s="38">
        <f>Table13678910[[#This Row],[Monthly Contribution Actuals]]-Table13678910[[#This Row],[Monthly Contribution Budget]]</f>
        <v>-1823</v>
      </c>
      <c r="AC8" s="39">
        <f>(Table13678910[[#This Row],[Monthly Contribution Variance]]/Table13678910[[#This Row],[Monthly Contribution Budget]])*100</f>
        <v>-13.291046952464274</v>
      </c>
      <c r="AD8" s="38">
        <v>16042</v>
      </c>
      <c r="AE8" s="38">
        <v>24285</v>
      </c>
      <c r="AF8" s="38">
        <f>Table13678910[[#This Row],[Cumulative Contribution Actuals]]-Table13678910[[#This Row],[Cumulative Contribution Budget]]</f>
        <v>8243</v>
      </c>
      <c r="AG8" s="39">
        <f>(Table13678910[[#This Row],[Cumulative Contribution Variance]]/Table13678910[[#This Row],[Cumulative Contribution Budget]])*100</f>
        <v>51.383867348210941</v>
      </c>
      <c r="AH8" s="38">
        <v>46018</v>
      </c>
      <c r="AI8" s="38">
        <f>Table13678910[[#This Row],[Contribution Total Budget 2026]]-Table13678910[[#This Row],[Cumulative Contribution Actuals]]</f>
        <v>21733</v>
      </c>
      <c r="AJ8" s="40">
        <f>(Table13678910[[#This Row],[Contribution To Be Achieved ]]/Table13678910[[#This Row],[Contribution Total Budget 2026]])*100</f>
        <v>47.227171976183236</v>
      </c>
    </row>
    <row r="9" spans="1:36" x14ac:dyDescent="0.25">
      <c r="A9" s="10" t="s">
        <v>65</v>
      </c>
      <c r="B9" s="11">
        <v>2026</v>
      </c>
      <c r="C9" s="22" t="s">
        <v>10</v>
      </c>
      <c r="D9" s="13">
        <f>Table13678910[[#This Row],[Cumulative Revenue Budget]]-H8</f>
        <v>10751</v>
      </c>
      <c r="E9" s="13">
        <f>Table13678910[[#This Row],[Cumulative Revenue Actuals]]-I8</f>
        <v>11770</v>
      </c>
      <c r="F9" s="13">
        <f>Table13678910[[#This Row],[Monthly Revenue Actuals]]-Table13678910[[#This Row],[Monthly Revenue Budget]]</f>
        <v>1019</v>
      </c>
      <c r="G9" s="14">
        <f>(Table13678910[[#This Row],[Monthly Revenue Variance]]/Table13678910[[#This Row],[Monthly Revenue Budget]])*100</f>
        <v>9.4781880755278571</v>
      </c>
      <c r="H9" s="13">
        <v>68323</v>
      </c>
      <c r="I9" s="13">
        <v>63562</v>
      </c>
      <c r="J9" s="13">
        <f>Table13678910[[#This Row],[Cumulative Revenue Actuals]]-Table13678910[[#This Row],[Cumulative Revenue Budget]]</f>
        <v>-4761</v>
      </c>
      <c r="K9" s="14">
        <f>(Table13678910[[#This Row],[Cumulative Revenue Variance]]/Table13678910[[#This Row],[Cumulative Revenue Budget]])*100</f>
        <v>-6.9683708268079574</v>
      </c>
      <c r="L9" s="13">
        <v>118970</v>
      </c>
      <c r="M9" s="13">
        <f>Table13678910[[#This Row],[Revenue Total Budget 2026]]-Table13678910[[#This Row],[Cumulative Revenue Actuals]]</f>
        <v>55408</v>
      </c>
      <c r="N9" s="14">
        <f>(Table13678910[[#This Row],[Revenue To Be Achieved ]]/Table13678910[[#This Row],[Revenue Total Budget 2026]])*100</f>
        <v>46.573085651845005</v>
      </c>
      <c r="O9" s="15">
        <f>Table13678910[[#This Row],[Cumulative Expenses Budget]]-S8</f>
        <v>5904</v>
      </c>
      <c r="P9" s="15">
        <f>Table13678910[[#This Row],[Cumulative Expenses Actuals]]-T8</f>
        <v>9382</v>
      </c>
      <c r="Q9" s="15">
        <f>Table13678910[[#This Row],[Monthly Expenses Budget]]-Table13678910[[#This Row],[Monthly Expenses Actuals]]</f>
        <v>-3478</v>
      </c>
      <c r="R9" s="16">
        <f>(Table13678910[[#This Row],[Monthly Expenses Variance]]/Table13678910[[#This Row],[Monthly Expenses Budget]])*100</f>
        <v>-58.909214092140928</v>
      </c>
      <c r="S9" s="15">
        <v>47434</v>
      </c>
      <c r="T9" s="15">
        <v>36889</v>
      </c>
      <c r="U9" s="15">
        <f>Table13678910[[#This Row],[Cumulative Expenses Budget]]-Table13678910[[#This Row],[Cumulative Expenses Actuals]]</f>
        <v>10545</v>
      </c>
      <c r="V9" s="16">
        <f>(Table13678910[[#This Row],[Cumulative Expenses Variance]]/Table13678910[[#This Row],[Cumulative Expenses Budget]])*100</f>
        <v>22.230889235569425</v>
      </c>
      <c r="W9" s="15">
        <v>72951</v>
      </c>
      <c r="X9" s="15">
        <f>Table13678910[[#This Row],[Expenses Total Budget 2026]]-Table13678910[[#This Row],[Cumulative Expenses Actuals]]</f>
        <v>36062</v>
      </c>
      <c r="Y9" s="16">
        <f>(Table13678910[[#This Row],[Expenses To Be Achieved ]]/Table13678910[[#This Row],[Expenses Total Budget 2026]])*100</f>
        <v>49.43318117640608</v>
      </c>
      <c r="Z9" s="38">
        <f>Table13678910[[#This Row],[Cumulative Contribution Budget]]-AD8</f>
        <v>4846</v>
      </c>
      <c r="AA9" s="38">
        <f>Table13678910[[#This Row],[Cumulative Contribution Actuals]]-AE8</f>
        <v>2388</v>
      </c>
      <c r="AB9" s="38">
        <f>Table13678910[[#This Row],[Monthly Contribution Actuals]]-Table13678910[[#This Row],[Monthly Contribution Budget]]</f>
        <v>-2458</v>
      </c>
      <c r="AC9" s="39">
        <f>(Table13678910[[#This Row],[Monthly Contribution Variance]]/Table13678910[[#This Row],[Monthly Contribution Budget]])*100</f>
        <v>-50.722245150639701</v>
      </c>
      <c r="AD9" s="38">
        <v>20888</v>
      </c>
      <c r="AE9" s="38">
        <v>26673</v>
      </c>
      <c r="AF9" s="38">
        <f>Table13678910[[#This Row],[Cumulative Contribution Actuals]]-Table13678910[[#This Row],[Cumulative Contribution Budget]]</f>
        <v>5785</v>
      </c>
      <c r="AG9" s="39">
        <f>(Table13678910[[#This Row],[Cumulative Contribution Variance]]/Table13678910[[#This Row],[Cumulative Contribution Budget]])*100</f>
        <v>27.695327460743009</v>
      </c>
      <c r="AH9" s="38">
        <v>46018</v>
      </c>
      <c r="AI9" s="38">
        <f>Table13678910[[#This Row],[Contribution Total Budget 2026]]-Table13678910[[#This Row],[Cumulative Contribution Actuals]]</f>
        <v>19345</v>
      </c>
      <c r="AJ9" s="40">
        <f>(Table13678910[[#This Row],[Contribution To Be Achieved ]]/Table13678910[[#This Row],[Contribution Total Budget 2026]])*100</f>
        <v>42.037898213742444</v>
      </c>
    </row>
    <row r="10" spans="1:36" x14ac:dyDescent="0.25">
      <c r="A10" s="10" t="s">
        <v>65</v>
      </c>
      <c r="B10" s="11">
        <v>2026</v>
      </c>
      <c r="C10" s="11" t="s">
        <v>11</v>
      </c>
      <c r="D10" s="13"/>
      <c r="E10" s="13"/>
      <c r="F10" s="13"/>
      <c r="G10" s="14"/>
      <c r="H10" s="13"/>
      <c r="I10" s="13"/>
      <c r="J10" s="13"/>
      <c r="K10" s="14"/>
      <c r="L10" s="13"/>
      <c r="M10" s="13"/>
      <c r="N10" s="14"/>
      <c r="O10" s="15"/>
      <c r="P10" s="15"/>
      <c r="Q10" s="15"/>
      <c r="R10" s="16"/>
      <c r="S10" s="15"/>
      <c r="T10" s="15"/>
      <c r="U10" s="15"/>
      <c r="V10" s="16"/>
      <c r="W10" s="15"/>
      <c r="X10" s="15"/>
      <c r="Y10" s="16"/>
      <c r="Z10" s="38"/>
      <c r="AA10" s="38"/>
      <c r="AB10" s="38"/>
      <c r="AC10" s="39"/>
      <c r="AD10" s="38"/>
      <c r="AE10" s="38"/>
      <c r="AF10" s="38"/>
      <c r="AG10" s="39"/>
      <c r="AH10" s="38"/>
      <c r="AI10" s="38"/>
      <c r="AJ10" s="40"/>
    </row>
    <row r="11" spans="1:36" x14ac:dyDescent="0.25">
      <c r="A11" s="10" t="s">
        <v>65</v>
      </c>
      <c r="B11" s="11">
        <v>2026</v>
      </c>
      <c r="C11" s="22" t="s">
        <v>12</v>
      </c>
      <c r="D11" s="13"/>
      <c r="E11" s="13"/>
      <c r="F11" s="13"/>
      <c r="G11" s="14"/>
      <c r="H11" s="13"/>
      <c r="I11" s="13"/>
      <c r="J11" s="13"/>
      <c r="K11" s="14"/>
      <c r="L11" s="13"/>
      <c r="M11" s="13"/>
      <c r="N11" s="14"/>
      <c r="O11" s="15"/>
      <c r="P11" s="15"/>
      <c r="Q11" s="15"/>
      <c r="R11" s="16"/>
      <c r="S11" s="15"/>
      <c r="T11" s="15"/>
      <c r="U11" s="15"/>
      <c r="V11" s="16"/>
      <c r="W11" s="15"/>
      <c r="X11" s="15"/>
      <c r="Y11" s="16"/>
      <c r="Z11" s="38"/>
      <c r="AA11" s="38"/>
      <c r="AB11" s="38"/>
      <c r="AC11" s="39"/>
      <c r="AD11" s="38"/>
      <c r="AE11" s="38"/>
      <c r="AF11" s="38"/>
      <c r="AG11" s="39"/>
      <c r="AH11" s="38"/>
      <c r="AI11" s="38"/>
      <c r="AJ11" s="40"/>
    </row>
    <row r="12" spans="1:36" x14ac:dyDescent="0.25">
      <c r="A12" s="10" t="s">
        <v>65</v>
      </c>
      <c r="B12" s="11">
        <v>2026</v>
      </c>
      <c r="C12" s="11" t="s">
        <v>13</v>
      </c>
      <c r="D12" s="13"/>
      <c r="E12" s="13"/>
      <c r="F12" s="13"/>
      <c r="G12" s="14"/>
      <c r="H12" s="13"/>
      <c r="I12" s="13"/>
      <c r="J12" s="13"/>
      <c r="K12" s="14"/>
      <c r="L12" s="13"/>
      <c r="M12" s="13"/>
      <c r="N12" s="14"/>
      <c r="O12" s="15"/>
      <c r="P12" s="15"/>
      <c r="Q12" s="15"/>
      <c r="R12" s="16"/>
      <c r="S12" s="15"/>
      <c r="T12" s="15"/>
      <c r="U12" s="15"/>
      <c r="V12" s="16"/>
      <c r="W12" s="15"/>
      <c r="X12" s="15"/>
      <c r="Y12" s="16"/>
      <c r="Z12" s="38"/>
      <c r="AA12" s="38"/>
      <c r="AB12" s="38"/>
      <c r="AC12" s="39"/>
      <c r="AD12" s="38"/>
      <c r="AE12" s="38"/>
      <c r="AF12" s="38"/>
      <c r="AG12" s="39"/>
      <c r="AH12" s="38"/>
      <c r="AI12" s="38"/>
      <c r="AJ12" s="40"/>
    </row>
    <row r="13" spans="1:36" x14ac:dyDescent="0.25">
      <c r="A13" s="23" t="s">
        <v>65</v>
      </c>
      <c r="B13" s="42">
        <v>2026</v>
      </c>
      <c r="C13" s="24" t="s">
        <v>14</v>
      </c>
      <c r="D13" s="25"/>
      <c r="E13" s="25"/>
      <c r="F13" s="25"/>
      <c r="G13" s="26"/>
      <c r="H13" s="25"/>
      <c r="I13" s="25"/>
      <c r="J13" s="25"/>
      <c r="K13" s="26"/>
      <c r="L13" s="25"/>
      <c r="M13" s="25"/>
      <c r="N13" s="26"/>
      <c r="O13" s="27"/>
      <c r="P13" s="27"/>
      <c r="Q13" s="27"/>
      <c r="R13" s="28"/>
      <c r="S13" s="27"/>
      <c r="T13" s="27"/>
      <c r="U13" s="27"/>
      <c r="V13" s="28"/>
      <c r="W13" s="27"/>
      <c r="X13" s="27"/>
      <c r="Y13" s="28"/>
      <c r="Z13" s="43"/>
      <c r="AA13" s="43"/>
      <c r="AB13" s="43"/>
      <c r="AC13" s="44"/>
      <c r="AD13" s="43"/>
      <c r="AE13" s="43"/>
      <c r="AF13" s="43"/>
      <c r="AG13" s="44"/>
      <c r="AH13" s="43"/>
      <c r="AI13" s="43"/>
      <c r="AJ13" s="45"/>
    </row>
    <row r="19" ht="45" customHeight="1" x14ac:dyDescent="0.25"/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9EAC4-6D8A-4658-A7AA-F2C9B819F948}">
  <sheetPr codeName="Sheet16"/>
  <dimension ref="A1:AJ13"/>
  <sheetViews>
    <sheetView topLeftCell="M1" zoomScale="130" zoomScaleNormal="130" workbookViewId="0">
      <selection activeCell="M9" sqref="M9"/>
    </sheetView>
  </sheetViews>
  <sheetFormatPr defaultRowHeight="15" x14ac:dyDescent="0.25"/>
  <cols>
    <col min="1" max="1" width="18.85546875" customWidth="1"/>
    <col min="2" max="2" width="7.140625" customWidth="1"/>
    <col min="4" max="4" width="22.140625" customWidth="1"/>
    <col min="5" max="5" width="22.5703125" customWidth="1"/>
    <col min="6" max="6" width="23.5703125" customWidth="1"/>
    <col min="7" max="7" width="25.42578125" customWidth="1"/>
    <col min="8" max="8" width="25.140625" customWidth="1"/>
    <col min="9" max="9" width="24.5703125" customWidth="1"/>
    <col min="10" max="10" width="26.42578125" customWidth="1"/>
    <col min="11" max="11" width="28.28515625" customWidth="1"/>
    <col min="12" max="12" width="23.85546875" customWidth="1"/>
    <col min="13" max="13" width="22" customWidth="1"/>
    <col min="14" max="14" width="23.140625" customWidth="1"/>
    <col min="15" max="15" width="22.85546875" customWidth="1"/>
    <col min="16" max="16" width="23.42578125" customWidth="1"/>
    <col min="17" max="17" width="24.42578125" customWidth="1"/>
    <col min="18" max="18" width="26.140625" customWidth="1"/>
    <col min="19" max="19" width="25.85546875" customWidth="1"/>
    <col min="20" max="20" width="25.42578125" customWidth="1"/>
    <col min="21" max="21" width="27.28515625" customWidth="1"/>
    <col min="22" max="22" width="29.140625" customWidth="1"/>
    <col min="23" max="23" width="24.7109375" customWidth="1"/>
    <col min="24" max="24" width="22.85546875" customWidth="1"/>
    <col min="25" max="25" width="23.85546875" customWidth="1"/>
    <col min="26" max="26" width="25.42578125" customWidth="1"/>
    <col min="27" max="27" width="25.85546875" customWidth="1"/>
    <col min="28" max="28" width="26.7109375" customWidth="1"/>
    <col min="29" max="29" width="28.5703125" customWidth="1"/>
    <col min="30" max="30" width="28.28515625" customWidth="1"/>
    <col min="31" max="31" width="27.85546875" customWidth="1"/>
    <col min="32" max="32" width="29.7109375" customWidth="1"/>
    <col min="33" max="33" width="31.5703125" customWidth="1"/>
    <col min="34" max="34" width="27.140625" customWidth="1"/>
    <col min="35" max="35" width="25.28515625" customWidth="1"/>
    <col min="36" max="36" width="26.42578125" customWidth="1"/>
  </cols>
  <sheetData>
    <row r="1" spans="1:36" s="1" customFormat="1" ht="30" x14ac:dyDescent="0.25">
      <c r="A1" s="2" t="s">
        <v>0</v>
      </c>
      <c r="B1" s="3" t="s">
        <v>1</v>
      </c>
      <c r="C1" s="3" t="s">
        <v>2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56</v>
      </c>
      <c r="J1" s="4" t="s">
        <v>21</v>
      </c>
      <c r="K1" s="4" t="s">
        <v>22</v>
      </c>
      <c r="L1" s="4" t="s">
        <v>89</v>
      </c>
      <c r="M1" s="4" t="s">
        <v>23</v>
      </c>
      <c r="N1" s="4" t="s">
        <v>24</v>
      </c>
      <c r="O1" s="5" t="s">
        <v>25</v>
      </c>
      <c r="P1" s="5" t="s">
        <v>26</v>
      </c>
      <c r="Q1" s="5" t="s">
        <v>27</v>
      </c>
      <c r="R1" s="5" t="s">
        <v>28</v>
      </c>
      <c r="S1" s="5" t="s">
        <v>29</v>
      </c>
      <c r="T1" s="5" t="s">
        <v>55</v>
      </c>
      <c r="U1" s="5" t="s">
        <v>30</v>
      </c>
      <c r="V1" s="5" t="s">
        <v>31</v>
      </c>
      <c r="W1" s="5" t="s">
        <v>90</v>
      </c>
      <c r="X1" s="5" t="s">
        <v>32</v>
      </c>
      <c r="Y1" s="5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7" t="s">
        <v>57</v>
      </c>
      <c r="AF1" s="7" t="s">
        <v>39</v>
      </c>
      <c r="AG1" s="7" t="s">
        <v>40</v>
      </c>
      <c r="AH1" s="7" t="s">
        <v>91</v>
      </c>
      <c r="AI1" s="7" t="s">
        <v>41</v>
      </c>
      <c r="AJ1" s="35" t="s">
        <v>42</v>
      </c>
    </row>
    <row r="2" spans="1:36" x14ac:dyDescent="0.25">
      <c r="A2" s="10" t="s">
        <v>66</v>
      </c>
      <c r="B2" s="11">
        <v>2026</v>
      </c>
      <c r="C2" s="12" t="s">
        <v>3</v>
      </c>
      <c r="D2" s="13">
        <v>2693</v>
      </c>
      <c r="E2" s="13">
        <v>2864.07143</v>
      </c>
      <c r="F2" s="13">
        <f>Table1367891011[[#This Row],[Monthly Revenue Actuals]]-Table1367891011[[#This Row],[Monthly Revenue Budget]]</f>
        <v>171.07142999999996</v>
      </c>
      <c r="G2" s="14">
        <f>(Table1367891011[[#This Row],[Monthly Revenue Variance]]/Table1367891011[[#This Row],[Monthly Revenue Budget]])*100</f>
        <v>6.3524481990345327</v>
      </c>
      <c r="H2" s="13">
        <v>2693</v>
      </c>
      <c r="I2" s="13">
        <v>2864.07143</v>
      </c>
      <c r="J2" s="13">
        <f>Table1367891011[[#This Row],[Cumulative Revenue Actuals]]-Table1367891011[[#This Row],[Cumulative Revenue Budget]]</f>
        <v>171.07142999999996</v>
      </c>
      <c r="K2" s="14">
        <f>(Table1367891011[[#This Row],[Cumulative Revenue Variance]]/Table1367891011[[#This Row],[Cumulative Revenue Budget]])*100</f>
        <v>6.3524481990345327</v>
      </c>
      <c r="L2" s="13">
        <v>56458</v>
      </c>
      <c r="M2" s="13">
        <f>Table1367891011[[#This Row],[Revenue Total Budget 2026]]-Table1367891011[[#This Row],[Cumulative Revenue Actuals]]</f>
        <v>53593.928570000004</v>
      </c>
      <c r="N2" s="14">
        <f>(Table1367891011[[#This Row],[Revenue To Be Achieved ]]/Table1367891011[[#This Row],[Revenue Total Budget 2026]])*100</f>
        <v>94.927076003400771</v>
      </c>
      <c r="O2" s="15">
        <v>2302</v>
      </c>
      <c r="P2" s="15">
        <v>1322.0084466666699</v>
      </c>
      <c r="Q2" s="15">
        <f>Table1367891011[[#This Row],[Monthly Expenses Budget]]-Table1367891011[[#This Row],[Monthly Expenses Actuals]]</f>
        <v>979.9915533333301</v>
      </c>
      <c r="R2" s="16">
        <f>(Table1367891011[[#This Row],[Monthly Expenses Variance]]/Table1367891011[[#This Row],[Monthly Expenses Budget]])*100</f>
        <v>42.571309875470462</v>
      </c>
      <c r="S2" s="15">
        <v>2302</v>
      </c>
      <c r="T2" s="15">
        <v>1322.0084466666699</v>
      </c>
      <c r="U2" s="15">
        <f>Table1367891011[[#This Row],[Cumulative Expenses Budget]]-Table1367891011[[#This Row],[Cumulative Expenses Actuals]]</f>
        <v>979.9915533333301</v>
      </c>
      <c r="V2" s="16">
        <f>(Table1367891011[[#This Row],[Cumulative Expenses Variance]]/Table1367891011[[#This Row],[Cumulative Expenses Budget]])*100</f>
        <v>42.571309875470462</v>
      </c>
      <c r="W2" s="15">
        <v>28556</v>
      </c>
      <c r="X2" s="15">
        <f>Table1367891011[[#This Row],[Expenses Total Budget 2026]]-Table1367891011[[#This Row],[Cumulative Expenses Actuals]]</f>
        <v>27233.99155333333</v>
      </c>
      <c r="Y2" s="16">
        <f>(Table1367891011[[#This Row],[Expenses To Be Achieved ]]/Table1367891011[[#This Row],[Expenses Total Budget 2026]])*100</f>
        <v>95.370470490731648</v>
      </c>
      <c r="Z2" s="38">
        <v>391</v>
      </c>
      <c r="AA2" s="38">
        <v>1542.0629833333332</v>
      </c>
      <c r="AB2" s="38">
        <f>Table1367891011[[#This Row],[Monthly Contribution Actuals]]-Table1367891011[[#This Row],[Monthly Contribution Budget]]</f>
        <v>1151.0629833333332</v>
      </c>
      <c r="AC2" s="39">
        <f>(Table1367891011[[#This Row],[Monthly Contribution Variance]]/Table1367891011[[#This Row],[Monthly Contribution Budget]])*100</f>
        <v>294.38950980392156</v>
      </c>
      <c r="AD2" s="38">
        <v>391</v>
      </c>
      <c r="AE2" s="38">
        <v>1542.0629833333332</v>
      </c>
      <c r="AF2" s="38">
        <f>Table1367891011[[#This Row],[Cumulative Contribution Actuals]]-Table1367891011[[#This Row],[Cumulative Contribution Budget]]</f>
        <v>1151.0629833333332</v>
      </c>
      <c r="AG2" s="39">
        <f>(Table1367891011[[#This Row],[Cumulative Contribution Variance]]/Table1367891011[[#This Row],[Cumulative Contribution Budget]])*100</f>
        <v>294.38950980392156</v>
      </c>
      <c r="AH2" s="38">
        <v>27901</v>
      </c>
      <c r="AI2" s="38">
        <f>Table1367891011[[#This Row],[Contribution Total Budget 2026]]-Table1367891011[[#This Row],[Cumulative Contribution Actuals]]</f>
        <v>26358.937016666667</v>
      </c>
      <c r="AJ2" s="40">
        <f>(Table1367891011[[#This Row],[Contribution To Be Achieved ]]/Table1367891011[[#This Row],[Contribution Total Budget 2026]])*100</f>
        <v>94.473090629965469</v>
      </c>
    </row>
    <row r="3" spans="1:36" x14ac:dyDescent="0.25">
      <c r="A3" s="10" t="s">
        <v>66</v>
      </c>
      <c r="B3" s="11">
        <v>2026</v>
      </c>
      <c r="C3" s="22" t="s">
        <v>4</v>
      </c>
      <c r="D3" s="13">
        <v>2324</v>
      </c>
      <c r="E3" s="13">
        <v>3363.9636200000004</v>
      </c>
      <c r="F3" s="13">
        <f>Table1367891011[[#This Row],[Monthly Revenue Actuals]]-Table1367891011[[#This Row],[Monthly Revenue Budget]]</f>
        <v>1039.9636200000004</v>
      </c>
      <c r="G3" s="14">
        <f>(Table1367891011[[#This Row],[Monthly Revenue Variance]]/Table1367891011[[#This Row],[Monthly Revenue Budget]])*100</f>
        <v>44.748864888123947</v>
      </c>
      <c r="H3" s="13">
        <v>5017</v>
      </c>
      <c r="I3" s="13">
        <v>6228.0350500000004</v>
      </c>
      <c r="J3" s="13">
        <f>Table1367891011[[#This Row],[Cumulative Revenue Actuals]]-Table1367891011[[#This Row],[Cumulative Revenue Budget]]</f>
        <v>1211.0350500000004</v>
      </c>
      <c r="K3" s="14">
        <f>(Table1367891011[[#This Row],[Cumulative Revenue Variance]]/Table1367891011[[#This Row],[Cumulative Revenue Budget]])*100</f>
        <v>24.138629659158866</v>
      </c>
      <c r="L3" s="13">
        <v>56458</v>
      </c>
      <c r="M3" s="13">
        <f>Table1367891011[[#This Row],[Revenue Total Budget 2026]]-Table1367891011[[#This Row],[Cumulative Revenue Actuals]]</f>
        <v>50229.964950000001</v>
      </c>
      <c r="N3" s="14">
        <f>(Table1367891011[[#This Row],[Revenue To Be Achieved ]]/Table1367891011[[#This Row],[Revenue Total Budget 2026]])*100</f>
        <v>88.968728878104073</v>
      </c>
      <c r="O3" s="15">
        <v>2302</v>
      </c>
      <c r="P3" s="15">
        <v>1411.9915533333301</v>
      </c>
      <c r="Q3" s="15">
        <f>Table1367891011[[#This Row],[Monthly Expenses Budget]]-Table1367891011[[#This Row],[Monthly Expenses Actuals]]</f>
        <v>890.0084466666699</v>
      </c>
      <c r="R3" s="16">
        <f>(Table1367891011[[#This Row],[Monthly Expenses Variance]]/Table1367891011[[#This Row],[Monthly Expenses Budget]])*100</f>
        <v>38.662399942079489</v>
      </c>
      <c r="S3" s="15">
        <v>4604</v>
      </c>
      <c r="T3" s="15">
        <v>2734</v>
      </c>
      <c r="U3" s="15">
        <f>Table1367891011[[#This Row],[Cumulative Expenses Budget]]-Table1367891011[[#This Row],[Cumulative Expenses Actuals]]</f>
        <v>1870</v>
      </c>
      <c r="V3" s="16">
        <f>(Table1367891011[[#This Row],[Cumulative Expenses Variance]]/Table1367891011[[#This Row],[Cumulative Expenses Budget]])*100</f>
        <v>40.616854908774982</v>
      </c>
      <c r="W3" s="15">
        <v>28556</v>
      </c>
      <c r="X3" s="15">
        <f>Table1367891011[[#This Row],[Expenses Total Budget 2026]]-Table1367891011[[#This Row],[Cumulative Expenses Actuals]]</f>
        <v>25822</v>
      </c>
      <c r="Y3" s="16">
        <f>(Table1367891011[[#This Row],[Expenses To Be Achieved ]]/Table1367891011[[#This Row],[Expenses Total Budget 2026]])*100</f>
        <v>90.425829948172009</v>
      </c>
      <c r="Z3" s="38">
        <v>22</v>
      </c>
      <c r="AA3" s="38">
        <v>1951.9370166666668</v>
      </c>
      <c r="AB3" s="38">
        <f>Table1367891011[[#This Row],[Monthly Contribution Actuals]]-Table1367891011[[#This Row],[Monthly Contribution Budget]]</f>
        <v>1929.9370166666668</v>
      </c>
      <c r="AC3" s="39">
        <f>(Table1367891011[[#This Row],[Monthly Contribution Variance]]/Table1367891011[[#This Row],[Monthly Contribution Budget]])*100</f>
        <v>8772.4409848484847</v>
      </c>
      <c r="AD3" s="38">
        <v>413</v>
      </c>
      <c r="AE3" s="38">
        <v>3494</v>
      </c>
      <c r="AF3" s="38">
        <f>Table1367891011[[#This Row],[Cumulative Contribution Actuals]]-Table1367891011[[#This Row],[Cumulative Contribution Budget]]</f>
        <v>3081</v>
      </c>
      <c r="AG3" s="39">
        <f>(Table1367891011[[#This Row],[Cumulative Contribution Variance]]/Table1367891011[[#This Row],[Cumulative Contribution Budget]])*100</f>
        <v>746.00484261501208</v>
      </c>
      <c r="AH3" s="38">
        <v>27901</v>
      </c>
      <c r="AI3" s="38">
        <f>Table1367891011[[#This Row],[Contribution Total Budget 2026]]-Table1367891011[[#This Row],[Cumulative Contribution Actuals]]</f>
        <v>24407</v>
      </c>
      <c r="AJ3" s="40">
        <f>(Table1367891011[[#This Row],[Contribution To Be Achieved ]]/Table1367891011[[#This Row],[Contribution Total Budget 2026]])*100</f>
        <v>87.477151356582212</v>
      </c>
    </row>
    <row r="4" spans="1:36" x14ac:dyDescent="0.25">
      <c r="A4" s="10" t="s">
        <v>66</v>
      </c>
      <c r="B4" s="11">
        <v>2026</v>
      </c>
      <c r="C4" s="11" t="s">
        <v>5</v>
      </c>
      <c r="D4" s="13">
        <v>2704</v>
      </c>
      <c r="E4" s="13">
        <v>2619.9649499999996</v>
      </c>
      <c r="F4" s="13">
        <f>Table1367891011[[#This Row],[Monthly Revenue Actuals]]-Table1367891011[[#This Row],[Monthly Revenue Budget]]</f>
        <v>-84.03505000000041</v>
      </c>
      <c r="G4" s="14">
        <f>(Table1367891011[[#This Row],[Monthly Revenue Variance]]/Table1367891011[[#This Row],[Monthly Revenue Budget]])*100</f>
        <v>-3.1078051035503109</v>
      </c>
      <c r="H4" s="13">
        <v>7721</v>
      </c>
      <c r="I4" s="13">
        <v>8848</v>
      </c>
      <c r="J4" s="13">
        <f>Table1367891011[[#This Row],[Cumulative Revenue Actuals]]-Table1367891011[[#This Row],[Cumulative Revenue Budget]]</f>
        <v>1127</v>
      </c>
      <c r="K4" s="14">
        <f>(Table1367891011[[#This Row],[Cumulative Revenue Variance]]/Table1367891011[[#This Row],[Cumulative Revenue Budget]])*100</f>
        <v>14.596554850407978</v>
      </c>
      <c r="L4" s="13">
        <v>56458</v>
      </c>
      <c r="M4" s="13">
        <f>Table1367891011[[#This Row],[Revenue Total Budget 2026]]-Table1367891011[[#This Row],[Cumulative Revenue Actuals]]</f>
        <v>47610</v>
      </c>
      <c r="N4" s="14">
        <f>(Table1367891011[[#This Row],[Revenue To Be Achieved ]]/Table1367891011[[#This Row],[Revenue Total Budget 2026]])*100</f>
        <v>84.328173155265858</v>
      </c>
      <c r="O4" s="15">
        <v>2301</v>
      </c>
      <c r="P4" s="15">
        <v>2048</v>
      </c>
      <c r="Q4" s="15">
        <f>Table1367891011[[#This Row],[Monthly Expenses Budget]]-Table1367891011[[#This Row],[Monthly Expenses Actuals]]</f>
        <v>253</v>
      </c>
      <c r="R4" s="16">
        <f>(Table1367891011[[#This Row],[Monthly Expenses Variance]]/Table1367891011[[#This Row],[Monthly Expenses Budget]])*100</f>
        <v>10.995219469795741</v>
      </c>
      <c r="S4" s="15">
        <v>6905</v>
      </c>
      <c r="T4" s="15">
        <v>4782</v>
      </c>
      <c r="U4" s="15">
        <f>Table1367891011[[#This Row],[Cumulative Expenses Budget]]-Table1367891011[[#This Row],[Cumulative Expenses Actuals]]</f>
        <v>2123</v>
      </c>
      <c r="V4" s="16">
        <f>(Table1367891011[[#This Row],[Cumulative Expenses Variance]]/Table1367891011[[#This Row],[Cumulative Expenses Budget]])*100</f>
        <v>30.745836350470672</v>
      </c>
      <c r="W4" s="15">
        <v>28556</v>
      </c>
      <c r="X4" s="15">
        <f>Table1367891011[[#This Row],[Expenses Total Budget 2026]]-Table1367891011[[#This Row],[Cumulative Expenses Actuals]]</f>
        <v>23774</v>
      </c>
      <c r="Y4" s="16">
        <f>(Table1367891011[[#This Row],[Expenses To Be Achieved ]]/Table1367891011[[#This Row],[Expenses Total Budget 2026]])*100</f>
        <v>83.253957136853913</v>
      </c>
      <c r="Z4" s="38">
        <v>402</v>
      </c>
      <c r="AA4" s="38">
        <v>572</v>
      </c>
      <c r="AB4" s="38">
        <f>Table1367891011[[#This Row],[Monthly Contribution Actuals]]-Table1367891011[[#This Row],[Monthly Contribution Budget]]</f>
        <v>170</v>
      </c>
      <c r="AC4" s="39">
        <f>(Table1367891011[[#This Row],[Monthly Contribution Variance]]/Table1367891011[[#This Row],[Monthly Contribution Budget]])*100</f>
        <v>42.288557213930353</v>
      </c>
      <c r="AD4" s="38">
        <v>815</v>
      </c>
      <c r="AE4" s="38">
        <v>4066</v>
      </c>
      <c r="AF4" s="38">
        <f>Table1367891011[[#This Row],[Cumulative Contribution Actuals]]-Table1367891011[[#This Row],[Cumulative Contribution Budget]]</f>
        <v>3251</v>
      </c>
      <c r="AG4" s="39">
        <f>(Table1367891011[[#This Row],[Cumulative Contribution Variance]]/Table1367891011[[#This Row],[Cumulative Contribution Budget]])*100</f>
        <v>398.89570552147239</v>
      </c>
      <c r="AH4" s="38">
        <v>27901</v>
      </c>
      <c r="AI4" s="38">
        <f>Table1367891011[[#This Row],[Contribution Total Budget 2026]]-Table1367891011[[#This Row],[Cumulative Contribution Actuals]]</f>
        <v>23835</v>
      </c>
      <c r="AJ4" s="40">
        <f>(Table1367891011[[#This Row],[Contribution To Be Achieved ]]/Table1367891011[[#This Row],[Contribution Total Budget 2026]])*100</f>
        <v>85.427045625604819</v>
      </c>
    </row>
    <row r="5" spans="1:36" x14ac:dyDescent="0.25">
      <c r="A5" s="10" t="s">
        <v>66</v>
      </c>
      <c r="B5" s="11">
        <v>2026</v>
      </c>
      <c r="C5" s="22" t="s">
        <v>6</v>
      </c>
      <c r="D5" s="13">
        <v>5012</v>
      </c>
      <c r="E5" s="13">
        <v>3985</v>
      </c>
      <c r="F5" s="13">
        <f>Table1367891011[[#This Row],[Monthly Revenue Actuals]]-Table1367891011[[#This Row],[Monthly Revenue Budget]]</f>
        <v>-1027</v>
      </c>
      <c r="G5" s="14">
        <f>(Table1367891011[[#This Row],[Monthly Revenue Variance]]/Table1367891011[[#This Row],[Monthly Revenue Budget]])*100</f>
        <v>-20.490822027134875</v>
      </c>
      <c r="H5" s="13">
        <v>12733</v>
      </c>
      <c r="I5" s="13">
        <v>12833</v>
      </c>
      <c r="J5" s="13">
        <f>Table1367891011[[#This Row],[Cumulative Revenue Actuals]]-Table1367891011[[#This Row],[Cumulative Revenue Budget]]</f>
        <v>100</v>
      </c>
      <c r="K5" s="14">
        <f>(Table1367891011[[#This Row],[Cumulative Revenue Variance]]/Table1367891011[[#This Row],[Cumulative Revenue Budget]])*100</f>
        <v>0.78536087332129123</v>
      </c>
      <c r="L5" s="13">
        <v>56458</v>
      </c>
      <c r="M5" s="13">
        <f>Table1367891011[[#This Row],[Revenue Total Budget 2026]]-Table1367891011[[#This Row],[Cumulative Revenue Actuals]]</f>
        <v>43625</v>
      </c>
      <c r="N5" s="14">
        <f>(Table1367891011[[#This Row],[Revenue To Be Achieved ]]/Table1367891011[[#This Row],[Revenue Total Budget 2026]])*100</f>
        <v>77.269828899358814</v>
      </c>
      <c r="O5" s="15">
        <v>2335</v>
      </c>
      <c r="P5" s="15">
        <v>1262</v>
      </c>
      <c r="Q5" s="15">
        <f>Table1367891011[[#This Row],[Monthly Expenses Budget]]-Table1367891011[[#This Row],[Monthly Expenses Actuals]]</f>
        <v>1073</v>
      </c>
      <c r="R5" s="16">
        <f>(Table1367891011[[#This Row],[Monthly Expenses Variance]]/Table1367891011[[#This Row],[Monthly Expenses Budget]])*100</f>
        <v>45.952890792291221</v>
      </c>
      <c r="S5" s="15">
        <v>9240</v>
      </c>
      <c r="T5" s="15">
        <v>6044</v>
      </c>
      <c r="U5" s="15">
        <f>Table1367891011[[#This Row],[Cumulative Expenses Budget]]-Table1367891011[[#This Row],[Cumulative Expenses Actuals]]</f>
        <v>3196</v>
      </c>
      <c r="V5" s="16">
        <f>(Table1367891011[[#This Row],[Cumulative Expenses Variance]]/Table1367891011[[#This Row],[Cumulative Expenses Budget]])*100</f>
        <v>34.588744588744589</v>
      </c>
      <c r="W5" s="15">
        <v>28556</v>
      </c>
      <c r="X5" s="15">
        <f>Table1367891011[[#This Row],[Expenses Total Budget 2026]]-Table1367891011[[#This Row],[Cumulative Expenses Actuals]]</f>
        <v>22512</v>
      </c>
      <c r="Y5" s="16">
        <f>(Table1367891011[[#This Row],[Expenses To Be Achieved ]]/Table1367891011[[#This Row],[Expenses Total Budget 2026]])*100</f>
        <v>78.834570668160808</v>
      </c>
      <c r="Z5" s="38">
        <v>2677</v>
      </c>
      <c r="AA5" s="38">
        <v>2732</v>
      </c>
      <c r="AB5" s="38">
        <f>Table1367891011[[#This Row],[Monthly Contribution Actuals]]-Table1367891011[[#This Row],[Monthly Contribution Budget]]</f>
        <v>55</v>
      </c>
      <c r="AC5" s="39">
        <f>(Table1367891011[[#This Row],[Monthly Contribution Variance]]/Table1367891011[[#This Row],[Monthly Contribution Budget]])*100</f>
        <v>2.0545386626821069</v>
      </c>
      <c r="AD5" s="38">
        <v>3492</v>
      </c>
      <c r="AE5" s="38">
        <v>6798</v>
      </c>
      <c r="AF5" s="38">
        <f>Table1367891011[[#This Row],[Cumulative Contribution Actuals]]-Table1367891011[[#This Row],[Cumulative Contribution Budget]]</f>
        <v>3306</v>
      </c>
      <c r="AG5" s="39">
        <f>(Table1367891011[[#This Row],[Cumulative Contribution Variance]]/Table1367891011[[#This Row],[Cumulative Contribution Budget]])*100</f>
        <v>94.673539518900341</v>
      </c>
      <c r="AH5" s="38">
        <v>27901</v>
      </c>
      <c r="AI5" s="38">
        <f>Table1367891011[[#This Row],[Contribution Total Budget 2026]]-Table1367891011[[#This Row],[Cumulative Contribution Actuals]]</f>
        <v>21103</v>
      </c>
      <c r="AJ5" s="40">
        <f>(Table1367891011[[#This Row],[Contribution To Be Achieved ]]/Table1367891011[[#This Row],[Contribution Total Budget 2026]])*100</f>
        <v>75.635281889538007</v>
      </c>
    </row>
    <row r="6" spans="1:36" x14ac:dyDescent="0.25">
      <c r="A6" s="10" t="s">
        <v>66</v>
      </c>
      <c r="B6" s="11">
        <v>2026</v>
      </c>
      <c r="C6" s="11" t="s">
        <v>7</v>
      </c>
      <c r="D6" s="13">
        <v>5457</v>
      </c>
      <c r="E6" s="13">
        <v>2605</v>
      </c>
      <c r="F6" s="13">
        <f>Table1367891011[[#This Row],[Monthly Revenue Actuals]]-Table1367891011[[#This Row],[Monthly Revenue Budget]]</f>
        <v>-2852</v>
      </c>
      <c r="G6" s="14">
        <f>(Table1367891011[[#This Row],[Monthly Revenue Variance]]/Table1367891011[[#This Row],[Monthly Revenue Budget]])*100</f>
        <v>-52.263148249954185</v>
      </c>
      <c r="H6" s="13">
        <v>18190</v>
      </c>
      <c r="I6" s="13">
        <v>15438</v>
      </c>
      <c r="J6" s="13">
        <f>Table1367891011[[#This Row],[Cumulative Revenue Actuals]]-Table1367891011[[#This Row],[Cumulative Revenue Budget]]</f>
        <v>-2752</v>
      </c>
      <c r="K6" s="14">
        <f>(Table1367891011[[#This Row],[Cumulative Revenue Variance]]/Table1367891011[[#This Row],[Cumulative Revenue Budget]])*100</f>
        <v>-15.129191863661354</v>
      </c>
      <c r="L6" s="13">
        <v>56458</v>
      </c>
      <c r="M6" s="13">
        <f>Table1367891011[[#This Row],[Revenue Total Budget 2026]]-Table1367891011[[#This Row],[Cumulative Revenue Actuals]]</f>
        <v>41020</v>
      </c>
      <c r="N6" s="14">
        <f>(Table1367891011[[#This Row],[Revenue To Be Achieved ]]/Table1367891011[[#This Row],[Revenue Total Budget 2026]])*100</f>
        <v>72.655779517517445</v>
      </c>
      <c r="O6" s="15">
        <v>2658</v>
      </c>
      <c r="P6" s="15">
        <v>1172</v>
      </c>
      <c r="Q6" s="15">
        <f>Table1367891011[[#This Row],[Monthly Expenses Budget]]-Table1367891011[[#This Row],[Monthly Expenses Actuals]]</f>
        <v>1486</v>
      </c>
      <c r="R6" s="16">
        <f>(Table1367891011[[#This Row],[Monthly Expenses Variance]]/Table1367891011[[#This Row],[Monthly Expenses Budget]])*100</f>
        <v>55.906696764484579</v>
      </c>
      <c r="S6" s="15">
        <v>11898</v>
      </c>
      <c r="T6" s="15">
        <v>7216</v>
      </c>
      <c r="U6" s="15">
        <f>Table1367891011[[#This Row],[Cumulative Expenses Budget]]-Table1367891011[[#This Row],[Cumulative Expenses Actuals]]</f>
        <v>4682</v>
      </c>
      <c r="V6" s="16">
        <f>(Table1367891011[[#This Row],[Cumulative Expenses Variance]]/Table1367891011[[#This Row],[Cumulative Expenses Budget]])*100</f>
        <v>39.351151454025882</v>
      </c>
      <c r="W6" s="15">
        <v>28556</v>
      </c>
      <c r="X6" s="15">
        <f>Table1367891011[[#This Row],[Expenses Total Budget 2026]]-Table1367891011[[#This Row],[Cumulative Expenses Actuals]]</f>
        <v>21340</v>
      </c>
      <c r="Y6" s="16">
        <f>(Table1367891011[[#This Row],[Expenses To Be Achieved ]]/Table1367891011[[#This Row],[Expenses Total Budget 2026]])*100</f>
        <v>74.73035439137135</v>
      </c>
      <c r="Z6" s="38">
        <v>2799</v>
      </c>
      <c r="AA6" s="38">
        <v>1424</v>
      </c>
      <c r="AB6" s="38">
        <f>Table1367891011[[#This Row],[Monthly Contribution Actuals]]-Table1367891011[[#This Row],[Monthly Contribution Budget]]</f>
        <v>-1375</v>
      </c>
      <c r="AC6" s="39">
        <f>(Table1367891011[[#This Row],[Monthly Contribution Variance]]/Table1367891011[[#This Row],[Monthly Contribution Budget]])*100</f>
        <v>-49.124687388352982</v>
      </c>
      <c r="AD6" s="38">
        <v>6291</v>
      </c>
      <c r="AE6" s="38">
        <v>8222</v>
      </c>
      <c r="AF6" s="38">
        <f>Table1367891011[[#This Row],[Cumulative Contribution Actuals]]-Table1367891011[[#This Row],[Cumulative Contribution Budget]]</f>
        <v>1931</v>
      </c>
      <c r="AG6" s="39">
        <f>(Table1367891011[[#This Row],[Cumulative Contribution Variance]]/Table1367891011[[#This Row],[Cumulative Contribution Budget]])*100</f>
        <v>30.694643140995069</v>
      </c>
      <c r="AH6" s="38">
        <v>27901</v>
      </c>
      <c r="AI6" s="38">
        <f>Table1367891011[[#This Row],[Contribution Total Budget 2026]]-Table1367891011[[#This Row],[Cumulative Contribution Actuals]]</f>
        <v>19679</v>
      </c>
      <c r="AJ6" s="40">
        <f>(Table1367891011[[#This Row],[Contribution To Be Achieved ]]/Table1367891011[[#This Row],[Contribution Total Budget 2026]])*100</f>
        <v>70.531522167664235</v>
      </c>
    </row>
    <row r="7" spans="1:36" x14ac:dyDescent="0.25">
      <c r="A7" s="10" t="s">
        <v>66</v>
      </c>
      <c r="B7" s="11">
        <v>2026</v>
      </c>
      <c r="C7" s="22" t="s">
        <v>8</v>
      </c>
      <c r="D7" s="13">
        <v>6653</v>
      </c>
      <c r="E7" s="13">
        <v>3216</v>
      </c>
      <c r="F7" s="13">
        <f>Table1367891011[[#This Row],[Monthly Revenue Actuals]]-Table1367891011[[#This Row],[Monthly Revenue Budget]]</f>
        <v>-3437</v>
      </c>
      <c r="G7" s="14">
        <f>(Table1367891011[[#This Row],[Monthly Revenue Variance]]/Table1367891011[[#This Row],[Monthly Revenue Budget]])*100</f>
        <v>-51.660904854952648</v>
      </c>
      <c r="H7" s="13">
        <v>24843</v>
      </c>
      <c r="I7" s="13">
        <v>18654</v>
      </c>
      <c r="J7" s="13">
        <f>Table1367891011[[#This Row],[Cumulative Revenue Actuals]]-Table1367891011[[#This Row],[Cumulative Revenue Budget]]</f>
        <v>-6189</v>
      </c>
      <c r="K7" s="14">
        <f>(Table1367891011[[#This Row],[Cumulative Revenue Variance]]/Table1367891011[[#This Row],[Cumulative Revenue Budget]])*100</f>
        <v>-24.912450187175462</v>
      </c>
      <c r="L7" s="13">
        <v>56458</v>
      </c>
      <c r="M7" s="13">
        <f>Table1367891011[[#This Row],[Revenue Total Budget 2026]]-Table1367891011[[#This Row],[Cumulative Revenue Actuals]]</f>
        <v>37804</v>
      </c>
      <c r="N7" s="14">
        <f>(Table1367891011[[#This Row],[Revenue To Be Achieved ]]/Table1367891011[[#This Row],[Revenue Total Budget 2026]])*100</f>
        <v>66.959509724042647</v>
      </c>
      <c r="O7" s="15">
        <v>2380</v>
      </c>
      <c r="P7" s="15">
        <v>1336</v>
      </c>
      <c r="Q7" s="15">
        <f>Table1367891011[[#This Row],[Monthly Expenses Budget]]-Table1367891011[[#This Row],[Monthly Expenses Actuals]]</f>
        <v>1044</v>
      </c>
      <c r="R7" s="16">
        <f>(Table1367891011[[#This Row],[Monthly Expenses Variance]]/Table1367891011[[#This Row],[Monthly Expenses Budget]])*100</f>
        <v>43.865546218487395</v>
      </c>
      <c r="S7" s="15">
        <v>14278</v>
      </c>
      <c r="T7" s="15">
        <v>8552</v>
      </c>
      <c r="U7" s="15">
        <f>Table1367891011[[#This Row],[Cumulative Expenses Budget]]-Table1367891011[[#This Row],[Cumulative Expenses Actuals]]</f>
        <v>5726</v>
      </c>
      <c r="V7" s="16">
        <f>(Table1367891011[[#This Row],[Cumulative Expenses Variance]]/Table1367891011[[#This Row],[Cumulative Expenses Budget]])*100</f>
        <v>40.103655974226079</v>
      </c>
      <c r="W7" s="15">
        <v>28556</v>
      </c>
      <c r="X7" s="15">
        <f>Table1367891011[[#This Row],[Expenses Total Budget 2026]]-Table1367891011[[#This Row],[Cumulative Expenses Actuals]]</f>
        <v>20004</v>
      </c>
      <c r="Y7" s="16">
        <f>(Table1367891011[[#This Row],[Expenses To Be Achieved ]]/Table1367891011[[#This Row],[Expenses Total Budget 2026]])*100</f>
        <v>70.051827987113029</v>
      </c>
      <c r="Z7" s="38">
        <v>4274</v>
      </c>
      <c r="AA7" s="38">
        <v>1880</v>
      </c>
      <c r="AB7" s="38">
        <f>Table1367891011[[#This Row],[Monthly Contribution Actuals]]-Table1367891011[[#This Row],[Monthly Contribution Budget]]</f>
        <v>-2394</v>
      </c>
      <c r="AC7" s="39">
        <f>(Table1367891011[[#This Row],[Monthly Contribution Variance]]/Table1367891011[[#This Row],[Monthly Contribution Budget]])*100</f>
        <v>-56.013102480112309</v>
      </c>
      <c r="AD7" s="38">
        <v>10565</v>
      </c>
      <c r="AE7" s="38">
        <v>10102</v>
      </c>
      <c r="AF7" s="38">
        <f>Table1367891011[[#This Row],[Cumulative Contribution Actuals]]-Table1367891011[[#This Row],[Cumulative Contribution Budget]]</f>
        <v>-463</v>
      </c>
      <c r="AG7" s="39">
        <f>(Table1367891011[[#This Row],[Cumulative Contribution Variance]]/Table1367891011[[#This Row],[Cumulative Contribution Budget]])*100</f>
        <v>-4.3823946994794127</v>
      </c>
      <c r="AH7" s="38">
        <v>27901</v>
      </c>
      <c r="AI7" s="38">
        <f>Table1367891011[[#This Row],[Contribution Total Budget 2026]]-Table1367891011[[#This Row],[Cumulative Contribution Actuals]]</f>
        <v>17799</v>
      </c>
      <c r="AJ7" s="40">
        <f>(Table1367891011[[#This Row],[Contribution To Be Achieved ]]/Table1367891011[[#This Row],[Contribution Total Budget 2026]])*100</f>
        <v>63.793412422493823</v>
      </c>
    </row>
    <row r="8" spans="1:36" x14ac:dyDescent="0.25">
      <c r="A8" s="10" t="s">
        <v>66</v>
      </c>
      <c r="B8" s="11">
        <v>2026</v>
      </c>
      <c r="C8" s="11" t="s">
        <v>9</v>
      </c>
      <c r="D8" s="13">
        <f>Table1367891011[[#This Row],[Cumulative Revenue Budget]]-H7</f>
        <v>5567</v>
      </c>
      <c r="E8" s="13">
        <f>Table1367891011[[#This Row],[Cumulative Revenue Actuals]]-I7</f>
        <v>5802</v>
      </c>
      <c r="F8" s="13">
        <f>Table1367891011[[#This Row],[Monthly Revenue Actuals]]-Table1367891011[[#This Row],[Monthly Revenue Budget]]</f>
        <v>235</v>
      </c>
      <c r="G8" s="14">
        <f>(Table1367891011[[#This Row],[Monthly Revenue Variance]]/Table1367891011[[#This Row],[Monthly Revenue Budget]])*100</f>
        <v>4.221304113526136</v>
      </c>
      <c r="H8" s="13">
        <v>30410</v>
      </c>
      <c r="I8" s="13">
        <v>24456</v>
      </c>
      <c r="J8" s="13">
        <f>Table1367891011[[#This Row],[Cumulative Revenue Actuals]]-Table1367891011[[#This Row],[Cumulative Revenue Budget]]</f>
        <v>-5954</v>
      </c>
      <c r="K8" s="14">
        <f>(Table1367891011[[#This Row],[Cumulative Revenue Variance]]/Table1367891011[[#This Row],[Cumulative Revenue Budget]])*100</f>
        <v>-19.579085827030582</v>
      </c>
      <c r="L8" s="13">
        <v>56458</v>
      </c>
      <c r="M8" s="13">
        <f>Table1367891011[[#This Row],[Revenue Total Budget 2026]]-Table1367891011[[#This Row],[Cumulative Revenue Actuals]]</f>
        <v>32002</v>
      </c>
      <c r="N8" s="14">
        <f>(Table1367891011[[#This Row],[Revenue To Be Achieved ]]/Table1367891011[[#This Row],[Revenue Total Budget 2026]])*100</f>
        <v>56.682843883949133</v>
      </c>
      <c r="O8" s="15">
        <f>Table1367891011[[#This Row],[Cumulative Expenses Budget]]-S7</f>
        <v>2380</v>
      </c>
      <c r="P8" s="15">
        <f>Table1367891011[[#This Row],[Cumulative Expenses Actuals]]-T7</f>
        <v>2041</v>
      </c>
      <c r="Q8" s="15">
        <f>Table1367891011[[#This Row],[Monthly Expenses Budget]]-Table1367891011[[#This Row],[Monthly Expenses Actuals]]</f>
        <v>339</v>
      </c>
      <c r="R8" s="16">
        <f>(Table1367891011[[#This Row],[Monthly Expenses Variance]]/Table1367891011[[#This Row],[Monthly Expenses Budget]])*100</f>
        <v>14.243697478991596</v>
      </c>
      <c r="S8" s="15">
        <v>16658</v>
      </c>
      <c r="T8" s="15">
        <v>10593</v>
      </c>
      <c r="U8" s="15">
        <f>Table1367891011[[#This Row],[Cumulative Expenses Budget]]-Table1367891011[[#This Row],[Cumulative Expenses Actuals]]</f>
        <v>6065</v>
      </c>
      <c r="V8" s="16">
        <f>(Table1367891011[[#This Row],[Cumulative Expenses Variance]]/Table1367891011[[#This Row],[Cumulative Expenses Budget]])*100</f>
        <v>36.408932644975387</v>
      </c>
      <c r="W8" s="15">
        <v>28556</v>
      </c>
      <c r="X8" s="15">
        <f>Table1367891011[[#This Row],[Expenses Total Budget 2026]]-Table1367891011[[#This Row],[Cumulative Expenses Actuals]]</f>
        <v>17963</v>
      </c>
      <c r="Y8" s="16">
        <f>(Table1367891011[[#This Row],[Expenses To Be Achieved ]]/Table1367891011[[#This Row],[Expenses Total Budget 2026]])*100</f>
        <v>62.90446841294299</v>
      </c>
      <c r="Z8" s="38">
        <f>Table1367891011[[#This Row],[Cumulative Contribution Budget]]-AD7</f>
        <v>3187</v>
      </c>
      <c r="AA8" s="38">
        <f>Table1367891011[[#This Row],[Cumulative Contribution Actuals]]-AE7</f>
        <v>3761</v>
      </c>
      <c r="AB8" s="38">
        <f>Table1367891011[[#This Row],[Monthly Contribution Actuals]]-Table1367891011[[#This Row],[Monthly Contribution Budget]]</f>
        <v>574</v>
      </c>
      <c r="AC8" s="39">
        <f>(Table1367891011[[#This Row],[Monthly Contribution Variance]]/Table1367891011[[#This Row],[Monthly Contribution Budget]])*100</f>
        <v>18.010668340131787</v>
      </c>
      <c r="AD8" s="38">
        <v>13752</v>
      </c>
      <c r="AE8" s="38">
        <v>13863</v>
      </c>
      <c r="AF8" s="38">
        <f>Table1367891011[[#This Row],[Cumulative Contribution Actuals]]-Table1367891011[[#This Row],[Cumulative Contribution Budget]]</f>
        <v>111</v>
      </c>
      <c r="AG8" s="39">
        <f>(Table1367891011[[#This Row],[Cumulative Contribution Variance]]/Table1367891011[[#This Row],[Cumulative Contribution Budget]])*100</f>
        <v>0.8071553228621291</v>
      </c>
      <c r="AH8" s="38">
        <v>27901</v>
      </c>
      <c r="AI8" s="38">
        <f>Table1367891011[[#This Row],[Contribution Total Budget 2026]]-Table1367891011[[#This Row],[Cumulative Contribution Actuals]]</f>
        <v>14038</v>
      </c>
      <c r="AJ8" s="40">
        <f>(Table1367891011[[#This Row],[Contribution To Be Achieved ]]/Table1367891011[[#This Row],[Contribution Total Budget 2026]])*100</f>
        <v>50.313608831224684</v>
      </c>
    </row>
    <row r="9" spans="1:36" x14ac:dyDescent="0.25">
      <c r="A9" s="10" t="s">
        <v>66</v>
      </c>
      <c r="B9" s="11">
        <v>2026</v>
      </c>
      <c r="C9" s="22" t="s">
        <v>10</v>
      </c>
      <c r="D9" s="13">
        <f>Table1367891011[[#This Row],[Cumulative Revenue Budget]]-H8</f>
        <v>5567</v>
      </c>
      <c r="E9" s="13">
        <f>Table1367891011[[#This Row],[Cumulative Revenue Actuals]]-I8</f>
        <v>6196</v>
      </c>
      <c r="F9" s="13">
        <f>Table1367891011[[#This Row],[Monthly Revenue Actuals]]-Table1367891011[[#This Row],[Monthly Revenue Budget]]</f>
        <v>629</v>
      </c>
      <c r="G9" s="14">
        <f>(Table1367891011[[#This Row],[Monthly Revenue Variance]]/Table1367891011[[#This Row],[Monthly Revenue Budget]])*100</f>
        <v>11.298724627267829</v>
      </c>
      <c r="H9" s="13">
        <v>35977</v>
      </c>
      <c r="I9" s="13">
        <v>30652</v>
      </c>
      <c r="J9" s="13">
        <f>Table1367891011[[#This Row],[Cumulative Revenue Actuals]]-Table1367891011[[#This Row],[Cumulative Revenue Budget]]</f>
        <v>-5325</v>
      </c>
      <c r="K9" s="14">
        <f>(Table1367891011[[#This Row],[Cumulative Revenue Variance]]/Table1367891011[[#This Row],[Cumulative Revenue Budget]])*100</f>
        <v>-14.801122939655892</v>
      </c>
      <c r="L9" s="13">
        <v>56458</v>
      </c>
      <c r="M9" s="13">
        <f>Table1367891011[[#This Row],[Revenue Total Budget 2026]]-Table1367891011[[#This Row],[Cumulative Revenue Actuals]]</f>
        <v>25806</v>
      </c>
      <c r="N9" s="14">
        <f>(Table1367891011[[#This Row],[Revenue To Be Achieved ]]/Table1367891011[[#This Row],[Revenue Total Budget 2026]])*100</f>
        <v>45.708314145028162</v>
      </c>
      <c r="O9" s="15">
        <f>Table1367891011[[#This Row],[Cumulative Expenses Budget]]-S8</f>
        <v>2379</v>
      </c>
      <c r="P9" s="15">
        <f>Table1367891011[[#This Row],[Cumulative Expenses Actuals]]-T8</f>
        <v>1317</v>
      </c>
      <c r="Q9" s="15">
        <f>Table1367891011[[#This Row],[Monthly Expenses Budget]]-Table1367891011[[#This Row],[Monthly Expenses Actuals]]</f>
        <v>1062</v>
      </c>
      <c r="R9" s="16">
        <f>(Table1367891011[[#This Row],[Monthly Expenses Variance]]/Table1367891011[[#This Row],[Monthly Expenses Budget]])*100</f>
        <v>44.640605296342997</v>
      </c>
      <c r="S9" s="15">
        <v>19037</v>
      </c>
      <c r="T9" s="15">
        <v>11910</v>
      </c>
      <c r="U9" s="15">
        <f>Table1367891011[[#This Row],[Cumulative Expenses Budget]]-Table1367891011[[#This Row],[Cumulative Expenses Actuals]]</f>
        <v>7127</v>
      </c>
      <c r="V9" s="16">
        <f>(Table1367891011[[#This Row],[Cumulative Expenses Variance]]/Table1367891011[[#This Row],[Cumulative Expenses Budget]])*100</f>
        <v>37.437621473971738</v>
      </c>
      <c r="W9" s="15">
        <v>28556</v>
      </c>
      <c r="X9" s="15">
        <f>Table1367891011[[#This Row],[Expenses Total Budget 2026]]-Table1367891011[[#This Row],[Cumulative Expenses Actuals]]</f>
        <v>16646</v>
      </c>
      <c r="Y9" s="16">
        <f>(Table1367891011[[#This Row],[Expenses To Be Achieved ]]/Table1367891011[[#This Row],[Expenses Total Budget 2026]])*100</f>
        <v>58.292477938086563</v>
      </c>
      <c r="Z9" s="38">
        <f>Table1367891011[[#This Row],[Cumulative Contribution Budget]]-AD8</f>
        <v>3187</v>
      </c>
      <c r="AA9" s="38">
        <f>Table1367891011[[#This Row],[Cumulative Contribution Actuals]]-AE8</f>
        <v>4879</v>
      </c>
      <c r="AB9" s="38">
        <f>Table1367891011[[#This Row],[Monthly Contribution Actuals]]-Table1367891011[[#This Row],[Monthly Contribution Budget]]</f>
        <v>1692</v>
      </c>
      <c r="AC9" s="39">
        <f>(Table1367891011[[#This Row],[Monthly Contribution Variance]]/Table1367891011[[#This Row],[Monthly Contribution Budget]])*100</f>
        <v>53.090680891120179</v>
      </c>
      <c r="AD9" s="38">
        <v>16939</v>
      </c>
      <c r="AE9" s="38">
        <v>18742</v>
      </c>
      <c r="AF9" s="38">
        <f>Table1367891011[[#This Row],[Cumulative Contribution Actuals]]-Table1367891011[[#This Row],[Cumulative Contribution Budget]]</f>
        <v>1803</v>
      </c>
      <c r="AG9" s="39">
        <f>(Table1367891011[[#This Row],[Cumulative Contribution Variance]]/Table1367891011[[#This Row],[Cumulative Contribution Budget]])*100</f>
        <v>10.644075801405041</v>
      </c>
      <c r="AH9" s="38">
        <v>27901</v>
      </c>
      <c r="AI9" s="38">
        <f>Table1367891011[[#This Row],[Contribution Total Budget 2026]]-Table1367891011[[#This Row],[Cumulative Contribution Actuals]]</f>
        <v>9159</v>
      </c>
      <c r="AJ9" s="40">
        <f>(Table1367891011[[#This Row],[Contribution To Be Achieved ]]/Table1367891011[[#This Row],[Contribution Total Budget 2026]])*100</f>
        <v>32.826780402136123</v>
      </c>
    </row>
    <row r="10" spans="1:36" x14ac:dyDescent="0.25">
      <c r="A10" s="10" t="s">
        <v>66</v>
      </c>
      <c r="B10" s="11">
        <v>2026</v>
      </c>
      <c r="C10" s="11" t="s">
        <v>11</v>
      </c>
      <c r="D10" s="13"/>
      <c r="E10" s="13"/>
      <c r="F10" s="13"/>
      <c r="G10" s="14"/>
      <c r="H10" s="13"/>
      <c r="I10" s="13"/>
      <c r="J10" s="13"/>
      <c r="K10" s="14"/>
      <c r="L10" s="13"/>
      <c r="M10" s="13"/>
      <c r="N10" s="14"/>
      <c r="O10" s="15"/>
      <c r="P10" s="15"/>
      <c r="Q10" s="15"/>
      <c r="R10" s="16"/>
      <c r="S10" s="15"/>
      <c r="T10" s="15"/>
      <c r="U10" s="15"/>
      <c r="V10" s="16"/>
      <c r="W10" s="15"/>
      <c r="X10" s="15"/>
      <c r="Y10" s="16"/>
      <c r="Z10" s="38"/>
      <c r="AA10" s="38"/>
      <c r="AB10" s="38"/>
      <c r="AC10" s="39"/>
      <c r="AD10" s="38"/>
      <c r="AE10" s="38"/>
      <c r="AF10" s="38"/>
      <c r="AG10" s="39"/>
      <c r="AH10" s="38"/>
      <c r="AI10" s="38"/>
      <c r="AJ10" s="40"/>
    </row>
    <row r="11" spans="1:36" x14ac:dyDescent="0.25">
      <c r="A11" s="10" t="s">
        <v>66</v>
      </c>
      <c r="B11" s="11">
        <v>2026</v>
      </c>
      <c r="C11" s="22" t="s">
        <v>12</v>
      </c>
      <c r="D11" s="13"/>
      <c r="E11" s="13"/>
      <c r="F11" s="13"/>
      <c r="G11" s="14"/>
      <c r="H11" s="13"/>
      <c r="I11" s="13"/>
      <c r="J11" s="13"/>
      <c r="K11" s="14"/>
      <c r="L11" s="13"/>
      <c r="M11" s="13"/>
      <c r="N11" s="14"/>
      <c r="O11" s="15"/>
      <c r="P11" s="15"/>
      <c r="Q11" s="15"/>
      <c r="R11" s="16"/>
      <c r="S11" s="15"/>
      <c r="T11" s="15"/>
      <c r="U11" s="15"/>
      <c r="V11" s="16"/>
      <c r="W11" s="15"/>
      <c r="X11" s="15"/>
      <c r="Y11" s="16"/>
      <c r="Z11" s="38"/>
      <c r="AA11" s="38"/>
      <c r="AB11" s="38"/>
      <c r="AC11" s="39"/>
      <c r="AD11" s="38"/>
      <c r="AE11" s="38"/>
      <c r="AF11" s="38"/>
      <c r="AG11" s="39"/>
      <c r="AH11" s="38"/>
      <c r="AI11" s="38"/>
      <c r="AJ11" s="40"/>
    </row>
    <row r="12" spans="1:36" x14ac:dyDescent="0.25">
      <c r="A12" s="10" t="s">
        <v>66</v>
      </c>
      <c r="B12" s="11">
        <v>2026</v>
      </c>
      <c r="C12" s="11" t="s">
        <v>13</v>
      </c>
      <c r="D12" s="13"/>
      <c r="E12" s="13"/>
      <c r="F12" s="13"/>
      <c r="G12" s="14"/>
      <c r="H12" s="13"/>
      <c r="I12" s="13"/>
      <c r="J12" s="13"/>
      <c r="K12" s="14"/>
      <c r="L12" s="13"/>
      <c r="M12" s="13"/>
      <c r="N12" s="14"/>
      <c r="O12" s="15"/>
      <c r="P12" s="15"/>
      <c r="Q12" s="15"/>
      <c r="R12" s="16"/>
      <c r="S12" s="15"/>
      <c r="T12" s="15"/>
      <c r="U12" s="15"/>
      <c r="V12" s="16"/>
      <c r="W12" s="15"/>
      <c r="X12" s="15"/>
      <c r="Y12" s="16"/>
      <c r="Z12" s="38"/>
      <c r="AA12" s="38"/>
      <c r="AB12" s="38"/>
      <c r="AC12" s="39"/>
      <c r="AD12" s="38"/>
      <c r="AE12" s="38"/>
      <c r="AF12" s="38"/>
      <c r="AG12" s="39"/>
      <c r="AH12" s="38"/>
      <c r="AI12" s="38"/>
      <c r="AJ12" s="40"/>
    </row>
    <row r="13" spans="1:36" x14ac:dyDescent="0.25">
      <c r="A13" s="23" t="s">
        <v>66</v>
      </c>
      <c r="B13" s="42">
        <v>2026</v>
      </c>
      <c r="C13" s="24" t="s">
        <v>14</v>
      </c>
      <c r="D13" s="25"/>
      <c r="E13" s="25"/>
      <c r="F13" s="25"/>
      <c r="G13" s="26"/>
      <c r="H13" s="25"/>
      <c r="I13" s="25"/>
      <c r="J13" s="25"/>
      <c r="K13" s="26"/>
      <c r="L13" s="25"/>
      <c r="M13" s="25"/>
      <c r="N13" s="26"/>
      <c r="O13" s="27"/>
      <c r="P13" s="27"/>
      <c r="Q13" s="27"/>
      <c r="R13" s="28"/>
      <c r="S13" s="27"/>
      <c r="T13" s="27"/>
      <c r="U13" s="27"/>
      <c r="V13" s="28"/>
      <c r="W13" s="27"/>
      <c r="X13" s="27"/>
      <c r="Y13" s="28"/>
      <c r="Z13" s="43"/>
      <c r="AA13" s="43"/>
      <c r="AB13" s="43"/>
      <c r="AC13" s="44"/>
      <c r="AD13" s="43"/>
      <c r="AE13" s="43"/>
      <c r="AF13" s="43"/>
      <c r="AG13" s="44"/>
      <c r="AH13" s="43"/>
      <c r="AI13" s="43"/>
      <c r="AJ13" s="45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EB57-E0C5-47CF-9901-A02DAAEE3D95}">
  <sheetPr codeName="Sheet18"/>
  <dimension ref="A1:AJ13"/>
  <sheetViews>
    <sheetView topLeftCell="AB1" zoomScaleNormal="100" workbookViewId="0">
      <selection activeCell="AJ9" sqref="AJ9"/>
    </sheetView>
  </sheetViews>
  <sheetFormatPr defaultRowHeight="15" x14ac:dyDescent="0.25"/>
  <cols>
    <col min="1" max="1" width="18.85546875" customWidth="1"/>
    <col min="2" max="2" width="7.140625" customWidth="1"/>
    <col min="4" max="4" width="22.140625" customWidth="1"/>
    <col min="5" max="5" width="22.5703125" customWidth="1"/>
    <col min="6" max="6" width="23.5703125" customWidth="1"/>
    <col min="7" max="7" width="25.42578125" customWidth="1"/>
    <col min="8" max="8" width="25.140625" customWidth="1"/>
    <col min="9" max="9" width="24.5703125" customWidth="1"/>
    <col min="10" max="10" width="26.42578125" customWidth="1"/>
    <col min="11" max="11" width="28.28515625" customWidth="1"/>
    <col min="12" max="12" width="23.85546875" customWidth="1"/>
    <col min="13" max="13" width="22" customWidth="1"/>
    <col min="14" max="14" width="23.140625" customWidth="1"/>
    <col min="15" max="15" width="22.85546875" customWidth="1"/>
    <col min="16" max="16" width="23.42578125" customWidth="1"/>
    <col min="17" max="17" width="24.42578125" customWidth="1"/>
    <col min="18" max="18" width="26.140625" customWidth="1"/>
    <col min="19" max="19" width="25.85546875" customWidth="1"/>
    <col min="20" max="20" width="25.42578125" customWidth="1"/>
    <col min="21" max="21" width="27.28515625" customWidth="1"/>
    <col min="22" max="22" width="29.140625" customWidth="1"/>
    <col min="23" max="23" width="24.7109375" customWidth="1"/>
    <col min="24" max="24" width="22.85546875" customWidth="1"/>
    <col min="25" max="25" width="23.85546875" customWidth="1"/>
    <col min="26" max="26" width="17.5703125" customWidth="1"/>
    <col min="27" max="27" width="24.42578125" customWidth="1"/>
    <col min="28" max="28" width="26.7109375" customWidth="1"/>
    <col min="29" max="29" width="28.5703125" customWidth="1"/>
    <col min="30" max="30" width="28.28515625" customWidth="1"/>
    <col min="31" max="31" width="27.85546875" customWidth="1"/>
    <col min="32" max="32" width="29.7109375" customWidth="1"/>
    <col min="33" max="33" width="31.5703125" customWidth="1"/>
    <col min="34" max="34" width="27.140625" customWidth="1"/>
    <col min="35" max="35" width="25.28515625" customWidth="1"/>
    <col min="36" max="36" width="26.42578125" customWidth="1"/>
  </cols>
  <sheetData>
    <row r="1" spans="1:36" s="1" customFormat="1" ht="45" x14ac:dyDescent="0.25">
      <c r="A1" s="2" t="s">
        <v>0</v>
      </c>
      <c r="B1" s="3" t="s">
        <v>1</v>
      </c>
      <c r="C1" s="3" t="s">
        <v>2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56</v>
      </c>
      <c r="J1" s="4" t="s">
        <v>21</v>
      </c>
      <c r="K1" s="4" t="s">
        <v>22</v>
      </c>
      <c r="L1" s="4" t="s">
        <v>89</v>
      </c>
      <c r="M1" s="4" t="s">
        <v>23</v>
      </c>
      <c r="N1" s="4" t="s">
        <v>24</v>
      </c>
      <c r="O1" s="5" t="s">
        <v>25</v>
      </c>
      <c r="P1" s="5" t="s">
        <v>26</v>
      </c>
      <c r="Q1" s="5" t="s">
        <v>27</v>
      </c>
      <c r="R1" s="5" t="s">
        <v>28</v>
      </c>
      <c r="S1" s="5" t="s">
        <v>29</v>
      </c>
      <c r="T1" s="5" t="s">
        <v>55</v>
      </c>
      <c r="U1" s="5" t="s">
        <v>30</v>
      </c>
      <c r="V1" s="5" t="s">
        <v>31</v>
      </c>
      <c r="W1" s="5" t="s">
        <v>90</v>
      </c>
      <c r="X1" s="5" t="s">
        <v>32</v>
      </c>
      <c r="Y1" s="5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7" t="s">
        <v>57</v>
      </c>
      <c r="AF1" s="7" t="s">
        <v>39</v>
      </c>
      <c r="AG1" s="7" t="s">
        <v>40</v>
      </c>
      <c r="AH1" s="7" t="s">
        <v>91</v>
      </c>
      <c r="AI1" s="7" t="s">
        <v>41</v>
      </c>
      <c r="AJ1" s="35" t="s">
        <v>42</v>
      </c>
    </row>
    <row r="2" spans="1:36" x14ac:dyDescent="0.25">
      <c r="A2" s="10" t="s">
        <v>67</v>
      </c>
      <c r="B2" s="11">
        <v>2026</v>
      </c>
      <c r="C2" s="12" t="s">
        <v>3</v>
      </c>
      <c r="D2" s="13">
        <v>175</v>
      </c>
      <c r="E2" s="13">
        <v>62</v>
      </c>
      <c r="F2" s="13">
        <f>Table136789101112[[#This Row],[Monthly Revenue Actuals]]-Table136789101112[[#This Row],[Monthly Revenue Budget]]</f>
        <v>-113</v>
      </c>
      <c r="G2" s="14">
        <f>(Table136789101112[[#This Row],[Monthly Revenue Variance]]/Table136789101112[[#This Row],[Monthly Revenue Budget]])*100</f>
        <v>-64.571428571428569</v>
      </c>
      <c r="H2" s="13">
        <v>175</v>
      </c>
      <c r="I2" s="13">
        <v>62</v>
      </c>
      <c r="J2" s="13">
        <f>Table136789101112[[#This Row],[Cumulative Revenue Actuals]]-Table136789101112[[#This Row],[Cumulative Revenue Budget]]</f>
        <v>-113</v>
      </c>
      <c r="K2" s="14">
        <f>(Table136789101112[[#This Row],[Cumulative Revenue Variance]]/Table136789101112[[#This Row],[Cumulative Revenue Budget]])*100</f>
        <v>-64.571428571428569</v>
      </c>
      <c r="L2" s="13">
        <v>11090</v>
      </c>
      <c r="M2" s="13">
        <f>Table136789101112[[#This Row],[Revenue Total Budget 2026]]-Table136789101112[[#This Row],[Cumulative Revenue Actuals]]</f>
        <v>11028</v>
      </c>
      <c r="N2" s="14">
        <f>(Table136789101112[[#This Row],[Revenue To Be Achieved ]]/Table136789101112[[#This Row],[Revenue Total Budget 2026]])*100</f>
        <v>99.440937781785394</v>
      </c>
      <c r="O2" s="15">
        <v>353</v>
      </c>
      <c r="P2" s="15">
        <v>237.15397999999999</v>
      </c>
      <c r="Q2" s="15">
        <f>Table136789101112[[#This Row],[Monthly Expenses Budget]]-Table136789101112[[#This Row],[Monthly Expenses Actuals]]</f>
        <v>115.84602000000001</v>
      </c>
      <c r="R2" s="16">
        <f>(Table136789101112[[#This Row],[Monthly Expenses Variance]]/Table136789101112[[#This Row],[Monthly Expenses Budget]])*100</f>
        <v>32.81756940509915</v>
      </c>
      <c r="S2" s="15">
        <v>353</v>
      </c>
      <c r="T2" s="15">
        <v>237.15397999999999</v>
      </c>
      <c r="U2" s="15">
        <f>Table136789101112[[#This Row],[Cumulative Expenses Budget]]-Table136789101112[[#This Row],[Cumulative Expenses Actuals]]</f>
        <v>115.84602000000001</v>
      </c>
      <c r="V2" s="16">
        <f>(Table136789101112[[#This Row],[Cumulative Expenses Variance]]/Table136789101112[[#This Row],[Cumulative Expenses Budget]])*100</f>
        <v>32.81756940509915</v>
      </c>
      <c r="W2" s="15">
        <v>9656</v>
      </c>
      <c r="X2" s="15">
        <f>Table136789101112[[#This Row],[Expenses Total Budget 2026]]-Table136789101112[[#This Row],[Cumulative Expenses Actuals]]</f>
        <v>9418.8460200000009</v>
      </c>
      <c r="Y2" s="16">
        <f>(Table136789101112[[#This Row],[Expenses To Be Achieved ]]/Table136789101112[[#This Row],[Expenses Total Budget 2026]])*100</f>
        <v>97.543972866611441</v>
      </c>
      <c r="Z2" s="38">
        <v>-177</v>
      </c>
      <c r="AA2" s="38">
        <v>-175.55398000000002</v>
      </c>
      <c r="AB2" s="38">
        <f>Table136789101112[[#This Row],[Monthly Contribution Actuals]]-Table136789101112[[#This Row],[Monthly Contribution Budget]]</f>
        <v>1.4460199999999759</v>
      </c>
      <c r="AC2" s="39">
        <f>-(Table136789101112[[#This Row],[Monthly Contribution Variance]]/Table136789101112[[#This Row],[Monthly Contribution Budget]])*100</f>
        <v>0.81696045197738754</v>
      </c>
      <c r="AD2" s="38">
        <v>-177</v>
      </c>
      <c r="AE2" s="38">
        <v>-175.55398000000002</v>
      </c>
      <c r="AF2" s="38">
        <f>Table136789101112[[#This Row],[Cumulative Contribution Actuals]]-Table136789101112[[#This Row],[Cumulative Contribution Budget]]</f>
        <v>1.4460199999999759</v>
      </c>
      <c r="AG2" s="39">
        <f>-(Table136789101112[[#This Row],[Cumulative Contribution Variance]]/Table136789101112[[#This Row],[Cumulative Contribution Budget]])*100</f>
        <v>0.81696045197738754</v>
      </c>
      <c r="AH2" s="38">
        <v>1434</v>
      </c>
      <c r="AI2" s="38">
        <f>Table136789101112[[#This Row],[Contribution Total Budget 2026]]-Table136789101112[[#This Row],[Cumulative Contribution Actuals]]</f>
        <v>1609.5539800000001</v>
      </c>
      <c r="AJ2" s="40">
        <f>(Table136789101112[[#This Row],[Contribution To Be Achieved ]]/Table136789101112[[#This Row],[Contribution Total Budget 2026]])*100</f>
        <v>112.24225801952581</v>
      </c>
    </row>
    <row r="3" spans="1:36" x14ac:dyDescent="0.25">
      <c r="A3" s="10" t="s">
        <v>67</v>
      </c>
      <c r="B3" s="11">
        <v>2026</v>
      </c>
      <c r="C3" s="22" t="s">
        <v>4</v>
      </c>
      <c r="D3" s="13">
        <v>676</v>
      </c>
      <c r="E3" s="13">
        <v>676.5</v>
      </c>
      <c r="F3" s="13">
        <f>Table136789101112[[#This Row],[Monthly Revenue Actuals]]-Table136789101112[[#This Row],[Monthly Revenue Budget]]</f>
        <v>0.5</v>
      </c>
      <c r="G3" s="14">
        <f>(Table136789101112[[#This Row],[Monthly Revenue Variance]]/Table136789101112[[#This Row],[Monthly Revenue Budget]])*100</f>
        <v>7.3964497041420121E-2</v>
      </c>
      <c r="H3" s="13">
        <v>851</v>
      </c>
      <c r="I3" s="13">
        <v>738.5</v>
      </c>
      <c r="J3" s="13">
        <f>Table136789101112[[#This Row],[Cumulative Revenue Actuals]]-Table136789101112[[#This Row],[Cumulative Revenue Budget]]</f>
        <v>-112.5</v>
      </c>
      <c r="K3" s="14">
        <f>(Table136789101112[[#This Row],[Cumulative Revenue Variance]]/Table136789101112[[#This Row],[Cumulative Revenue Budget]])*100</f>
        <v>-13.219741480611047</v>
      </c>
      <c r="L3" s="13">
        <v>11090</v>
      </c>
      <c r="M3" s="13">
        <f>Table136789101112[[#This Row],[Revenue Total Budget 2026]]-Table136789101112[[#This Row],[Cumulative Revenue Actuals]]</f>
        <v>10351.5</v>
      </c>
      <c r="N3" s="14">
        <f>(Table136789101112[[#This Row],[Revenue To Be Achieved ]]/Table136789101112[[#This Row],[Revenue Total Budget 2026]])*100</f>
        <v>93.340847610459875</v>
      </c>
      <c r="O3" s="15">
        <v>605</v>
      </c>
      <c r="P3" s="15">
        <v>233.84602000000001</v>
      </c>
      <c r="Q3" s="15">
        <f>Table136789101112[[#This Row],[Monthly Expenses Budget]]-Table136789101112[[#This Row],[Monthly Expenses Actuals]]</f>
        <v>371.15397999999999</v>
      </c>
      <c r="R3" s="16">
        <f>(Table136789101112[[#This Row],[Monthly Expenses Variance]]/Table136789101112[[#This Row],[Monthly Expenses Budget]])*100</f>
        <v>61.347765289256195</v>
      </c>
      <c r="S3" s="15">
        <v>958</v>
      </c>
      <c r="T3" s="15">
        <v>471</v>
      </c>
      <c r="U3" s="15">
        <f>Table136789101112[[#This Row],[Cumulative Expenses Budget]]-Table136789101112[[#This Row],[Cumulative Expenses Actuals]]</f>
        <v>487</v>
      </c>
      <c r="V3" s="16">
        <f>(Table136789101112[[#This Row],[Cumulative Expenses Variance]]/Table136789101112[[#This Row],[Cumulative Expenses Budget]])*100</f>
        <v>50.835073068893536</v>
      </c>
      <c r="W3" s="15">
        <v>9656</v>
      </c>
      <c r="X3" s="15">
        <f>Table136789101112[[#This Row],[Expenses Total Budget 2026]]-Table136789101112[[#This Row],[Cumulative Expenses Actuals]]</f>
        <v>9185</v>
      </c>
      <c r="Y3" s="16">
        <f>(Table136789101112[[#This Row],[Expenses To Be Achieved ]]/Table136789101112[[#This Row],[Expenses Total Budget 2026]])*100</f>
        <v>95.122203811101897</v>
      </c>
      <c r="Z3" s="38">
        <v>70</v>
      </c>
      <c r="AA3" s="38">
        <v>443.55398000000002</v>
      </c>
      <c r="AB3" s="38">
        <f>Table136789101112[[#This Row],[Monthly Contribution Actuals]]-Table136789101112[[#This Row],[Monthly Contribution Budget]]</f>
        <v>373.55398000000002</v>
      </c>
      <c r="AC3" s="39">
        <f>(Table136789101112[[#This Row],[Monthly Contribution Variance]]/Table136789101112[[#This Row],[Monthly Contribution Budget]])*100</f>
        <v>533.64854285714284</v>
      </c>
      <c r="AD3" s="38">
        <v>-107</v>
      </c>
      <c r="AE3" s="38">
        <v>268</v>
      </c>
      <c r="AF3" s="38">
        <f>Table136789101112[[#This Row],[Cumulative Contribution Actuals]]-Table136789101112[[#This Row],[Cumulative Contribution Budget]]</f>
        <v>375</v>
      </c>
      <c r="AG3" s="39">
        <f>-(Table136789101112[[#This Row],[Cumulative Contribution Variance]]/Table136789101112[[#This Row],[Cumulative Contribution Budget]])*100</f>
        <v>350.46728971962614</v>
      </c>
      <c r="AH3" s="38">
        <v>1434</v>
      </c>
      <c r="AI3" s="38">
        <f>Table136789101112[[#This Row],[Contribution Total Budget 2026]]-Table136789101112[[#This Row],[Cumulative Contribution Actuals]]</f>
        <v>1166</v>
      </c>
      <c r="AJ3" s="40">
        <f>(Table136789101112[[#This Row],[Contribution To Be Achieved ]]/Table136789101112[[#This Row],[Contribution Total Budget 2026]])*100</f>
        <v>81.311018131101804</v>
      </c>
    </row>
    <row r="4" spans="1:36" x14ac:dyDescent="0.25">
      <c r="A4" s="10" t="s">
        <v>67</v>
      </c>
      <c r="B4" s="11">
        <v>2026</v>
      </c>
      <c r="C4" s="11" t="s">
        <v>5</v>
      </c>
      <c r="D4" s="13">
        <v>675</v>
      </c>
      <c r="E4" s="13">
        <v>51.5</v>
      </c>
      <c r="F4" s="13">
        <f>Table136789101112[[#This Row],[Monthly Revenue Actuals]]-Table136789101112[[#This Row],[Monthly Revenue Budget]]</f>
        <v>-623.5</v>
      </c>
      <c r="G4" s="14">
        <f>(Table136789101112[[#This Row],[Monthly Revenue Variance]]/Table136789101112[[#This Row],[Monthly Revenue Budget]])*100</f>
        <v>-92.370370370370367</v>
      </c>
      <c r="H4" s="13">
        <v>1526</v>
      </c>
      <c r="I4" s="13">
        <v>790</v>
      </c>
      <c r="J4" s="13">
        <f>Table136789101112[[#This Row],[Cumulative Revenue Actuals]]-Table136789101112[[#This Row],[Cumulative Revenue Budget]]</f>
        <v>-736</v>
      </c>
      <c r="K4" s="14">
        <f>(Table136789101112[[#This Row],[Cumulative Revenue Variance]]/Table136789101112[[#This Row],[Cumulative Revenue Budget]])*100</f>
        <v>-48.230668414154657</v>
      </c>
      <c r="L4" s="13">
        <v>11090</v>
      </c>
      <c r="M4" s="13">
        <f>Table136789101112[[#This Row],[Revenue Total Budget 2026]]-Table136789101112[[#This Row],[Cumulative Revenue Actuals]]</f>
        <v>10300</v>
      </c>
      <c r="N4" s="14">
        <f>(Table136789101112[[#This Row],[Revenue To Be Achieved ]]/Table136789101112[[#This Row],[Revenue Total Budget 2026]])*100</f>
        <v>92.876465284039682</v>
      </c>
      <c r="O4" s="15">
        <v>605</v>
      </c>
      <c r="P4" s="15">
        <v>464</v>
      </c>
      <c r="Q4" s="15">
        <f>Table136789101112[[#This Row],[Monthly Expenses Budget]]-Table136789101112[[#This Row],[Monthly Expenses Actuals]]</f>
        <v>141</v>
      </c>
      <c r="R4" s="16">
        <f>(Table136789101112[[#This Row],[Monthly Expenses Variance]]/Table136789101112[[#This Row],[Monthly Expenses Budget]])*100</f>
        <v>23.305785123966942</v>
      </c>
      <c r="S4" s="15">
        <v>1563</v>
      </c>
      <c r="T4" s="15">
        <v>935</v>
      </c>
      <c r="U4" s="15">
        <f>Table136789101112[[#This Row],[Cumulative Expenses Budget]]-Table136789101112[[#This Row],[Cumulative Expenses Actuals]]</f>
        <v>628</v>
      </c>
      <c r="V4" s="16">
        <f>(Table136789101112[[#This Row],[Cumulative Expenses Variance]]/Table136789101112[[#This Row],[Cumulative Expenses Budget]])*100</f>
        <v>40.179142674344206</v>
      </c>
      <c r="W4" s="15">
        <v>9656</v>
      </c>
      <c r="X4" s="15">
        <f>Table136789101112[[#This Row],[Expenses Total Budget 2026]]-Table136789101112[[#This Row],[Cumulative Expenses Actuals]]</f>
        <v>8721</v>
      </c>
      <c r="Y4" s="16">
        <f>(Table136789101112[[#This Row],[Expenses To Be Achieved ]]/Table136789101112[[#This Row],[Expenses Total Budget 2026]])*100</f>
        <v>90.316901408450704</v>
      </c>
      <c r="Z4" s="38">
        <v>70</v>
      </c>
      <c r="AA4" s="38">
        <v>-414</v>
      </c>
      <c r="AB4" s="38">
        <f>Table136789101112[[#This Row],[Monthly Contribution Actuals]]-Table136789101112[[#This Row],[Monthly Contribution Budget]]</f>
        <v>-484</v>
      </c>
      <c r="AC4" s="39">
        <f>(Table136789101112[[#This Row],[Monthly Contribution Variance]]/Table136789101112[[#This Row],[Monthly Contribution Budget]])*100</f>
        <v>-691.42857142857144</v>
      </c>
      <c r="AD4" s="38">
        <v>-37</v>
      </c>
      <c r="AE4" s="38">
        <v>-146</v>
      </c>
      <c r="AF4" s="38">
        <f>Table136789101112[[#This Row],[Cumulative Contribution Actuals]]-Table136789101112[[#This Row],[Cumulative Contribution Budget]]</f>
        <v>-109</v>
      </c>
      <c r="AG4" s="39">
        <f>-(Table136789101112[[#This Row],[Cumulative Contribution Variance]]/Table136789101112[[#This Row],[Cumulative Contribution Budget]])*100</f>
        <v>-294.59459459459458</v>
      </c>
      <c r="AH4" s="38">
        <v>1434</v>
      </c>
      <c r="AI4" s="38">
        <f>Table136789101112[[#This Row],[Contribution Total Budget 2026]]-Table136789101112[[#This Row],[Cumulative Contribution Actuals]]</f>
        <v>1580</v>
      </c>
      <c r="AJ4" s="40">
        <f>(Table136789101112[[#This Row],[Contribution To Be Achieved ]]/Table136789101112[[#This Row],[Contribution Total Budget 2026]])*100</f>
        <v>110.18131101813111</v>
      </c>
    </row>
    <row r="5" spans="1:36" x14ac:dyDescent="0.25">
      <c r="A5" s="10" t="s">
        <v>67</v>
      </c>
      <c r="B5" s="11">
        <v>2026</v>
      </c>
      <c r="C5" s="22" t="s">
        <v>6</v>
      </c>
      <c r="D5" s="13">
        <v>676</v>
      </c>
      <c r="E5" s="13">
        <v>30</v>
      </c>
      <c r="F5" s="13">
        <f>Table136789101112[[#This Row],[Monthly Revenue Actuals]]-Table136789101112[[#This Row],[Monthly Revenue Budget]]</f>
        <v>-646</v>
      </c>
      <c r="G5" s="14">
        <f>(Table136789101112[[#This Row],[Monthly Revenue Variance]]/Table136789101112[[#This Row],[Monthly Revenue Budget]])*100</f>
        <v>-95.562130177514788</v>
      </c>
      <c r="H5" s="13">
        <v>2202</v>
      </c>
      <c r="I5" s="13">
        <v>820</v>
      </c>
      <c r="J5" s="13">
        <f>Table136789101112[[#This Row],[Cumulative Revenue Actuals]]-Table136789101112[[#This Row],[Cumulative Revenue Budget]]</f>
        <v>-1382</v>
      </c>
      <c r="K5" s="14">
        <f>(Table136789101112[[#This Row],[Cumulative Revenue Variance]]/Table136789101112[[#This Row],[Cumulative Revenue Budget]])*100</f>
        <v>-62.76112624886467</v>
      </c>
      <c r="L5" s="13">
        <v>11090</v>
      </c>
      <c r="M5" s="13">
        <f>Table136789101112[[#This Row],[Revenue Total Budget 2026]]-Table136789101112[[#This Row],[Cumulative Revenue Actuals]]</f>
        <v>10270</v>
      </c>
      <c r="N5" s="14">
        <f>(Table136789101112[[#This Row],[Revenue To Be Achieved ]]/Table136789101112[[#This Row],[Revenue Total Budget 2026]])*100</f>
        <v>92.605951307484219</v>
      </c>
      <c r="O5" s="15">
        <v>1606</v>
      </c>
      <c r="P5" s="15">
        <v>318</v>
      </c>
      <c r="Q5" s="15">
        <f>Table136789101112[[#This Row],[Monthly Expenses Budget]]-Table136789101112[[#This Row],[Monthly Expenses Actuals]]</f>
        <v>1288</v>
      </c>
      <c r="R5" s="16">
        <f>(Table136789101112[[#This Row],[Monthly Expenses Variance]]/Table136789101112[[#This Row],[Monthly Expenses Budget]])*100</f>
        <v>80.199252801992529</v>
      </c>
      <c r="S5" s="15">
        <v>3169</v>
      </c>
      <c r="T5" s="15">
        <v>1253</v>
      </c>
      <c r="U5" s="15">
        <f>Table136789101112[[#This Row],[Cumulative Expenses Budget]]-Table136789101112[[#This Row],[Cumulative Expenses Actuals]]</f>
        <v>1916</v>
      </c>
      <c r="V5" s="16">
        <f>(Table136789101112[[#This Row],[Cumulative Expenses Variance]]/Table136789101112[[#This Row],[Cumulative Expenses Budget]])*100</f>
        <v>60.460713158725156</v>
      </c>
      <c r="W5" s="15">
        <v>9656</v>
      </c>
      <c r="X5" s="15">
        <f>Table136789101112[[#This Row],[Expenses Total Budget 2026]]-Table136789101112[[#This Row],[Cumulative Expenses Actuals]]</f>
        <v>8403</v>
      </c>
      <c r="Y5" s="16">
        <f>(Table136789101112[[#This Row],[Expenses To Be Achieved ]]/Table136789101112[[#This Row],[Expenses Total Budget 2026]])*100</f>
        <v>87.023612261806122</v>
      </c>
      <c r="Z5" s="38">
        <v>-930</v>
      </c>
      <c r="AA5" s="38">
        <v>-287</v>
      </c>
      <c r="AB5" s="38">
        <f>Table136789101112[[#This Row],[Monthly Contribution Actuals]]-Table136789101112[[#This Row],[Monthly Contribution Budget]]</f>
        <v>643</v>
      </c>
      <c r="AC5" s="39">
        <f>-(Table136789101112[[#This Row],[Monthly Contribution Variance]]/Table136789101112[[#This Row],[Monthly Contribution Budget]])*100</f>
        <v>69.13978494623656</v>
      </c>
      <c r="AD5" s="38">
        <v>-967</v>
      </c>
      <c r="AE5" s="38">
        <v>-433</v>
      </c>
      <c r="AF5" s="38">
        <f>Table136789101112[[#This Row],[Cumulative Contribution Actuals]]-Table136789101112[[#This Row],[Cumulative Contribution Budget]]</f>
        <v>534</v>
      </c>
      <c r="AG5" s="39">
        <f>-(Table136789101112[[#This Row],[Cumulative Contribution Variance]]/Table136789101112[[#This Row],[Cumulative Contribution Budget]])*100</f>
        <v>55.222337125129265</v>
      </c>
      <c r="AH5" s="38">
        <v>1434</v>
      </c>
      <c r="AI5" s="38">
        <f>Table136789101112[[#This Row],[Contribution Total Budget 2026]]-Table136789101112[[#This Row],[Cumulative Contribution Actuals]]</f>
        <v>1867</v>
      </c>
      <c r="AJ5" s="40">
        <f>(Table136789101112[[#This Row],[Contribution To Be Achieved ]]/Table136789101112[[#This Row],[Contribution Total Budget 2026]])*100</f>
        <v>130.1952580195258</v>
      </c>
    </row>
    <row r="6" spans="1:36" x14ac:dyDescent="0.25">
      <c r="A6" s="10" t="s">
        <v>67</v>
      </c>
      <c r="B6" s="11">
        <v>2026</v>
      </c>
      <c r="C6" s="11" t="s">
        <v>7</v>
      </c>
      <c r="D6" s="13">
        <v>675</v>
      </c>
      <c r="E6" s="13">
        <v>159</v>
      </c>
      <c r="F6" s="13">
        <f>Table136789101112[[#This Row],[Monthly Revenue Actuals]]-Table136789101112[[#This Row],[Monthly Revenue Budget]]</f>
        <v>-516</v>
      </c>
      <c r="G6" s="14">
        <f>(Table136789101112[[#This Row],[Monthly Revenue Variance]]/Table136789101112[[#This Row],[Monthly Revenue Budget]])*100</f>
        <v>-76.444444444444443</v>
      </c>
      <c r="H6" s="13">
        <v>2877</v>
      </c>
      <c r="I6" s="13">
        <v>979</v>
      </c>
      <c r="J6" s="13">
        <f>Table136789101112[[#This Row],[Cumulative Revenue Actuals]]-Table136789101112[[#This Row],[Cumulative Revenue Budget]]</f>
        <v>-1898</v>
      </c>
      <c r="K6" s="14">
        <f>(Table136789101112[[#This Row],[Cumulative Revenue Variance]]/Table136789101112[[#This Row],[Cumulative Revenue Budget]])*100</f>
        <v>-65.97149808828641</v>
      </c>
      <c r="L6" s="13">
        <v>11090</v>
      </c>
      <c r="M6" s="13">
        <f>Table136789101112[[#This Row],[Revenue Total Budget 2026]]-Table136789101112[[#This Row],[Cumulative Revenue Actuals]]</f>
        <v>10111</v>
      </c>
      <c r="N6" s="14">
        <f>(Table136789101112[[#This Row],[Revenue To Be Achieved ]]/Table136789101112[[#This Row],[Revenue Total Budget 2026]])*100</f>
        <v>91.172227231740308</v>
      </c>
      <c r="O6" s="15">
        <v>605</v>
      </c>
      <c r="P6" s="15">
        <v>440</v>
      </c>
      <c r="Q6" s="15">
        <f>Table136789101112[[#This Row],[Monthly Expenses Budget]]-Table136789101112[[#This Row],[Monthly Expenses Actuals]]</f>
        <v>165</v>
      </c>
      <c r="R6" s="16">
        <f>(Table136789101112[[#This Row],[Monthly Expenses Variance]]/Table136789101112[[#This Row],[Monthly Expenses Budget]])*100</f>
        <v>27.27272727272727</v>
      </c>
      <c r="S6" s="15">
        <v>3774</v>
      </c>
      <c r="T6" s="15">
        <v>1693</v>
      </c>
      <c r="U6" s="15">
        <f>Table136789101112[[#This Row],[Cumulative Expenses Budget]]-Table136789101112[[#This Row],[Cumulative Expenses Actuals]]</f>
        <v>2081</v>
      </c>
      <c r="V6" s="16">
        <f>(Table136789101112[[#This Row],[Cumulative Expenses Variance]]/Table136789101112[[#This Row],[Cumulative Expenses Budget]])*100</f>
        <v>55.14043455219926</v>
      </c>
      <c r="W6" s="15">
        <v>9656</v>
      </c>
      <c r="X6" s="15">
        <f>Table136789101112[[#This Row],[Expenses Total Budget 2026]]-Table136789101112[[#This Row],[Cumulative Expenses Actuals]]</f>
        <v>7963</v>
      </c>
      <c r="Y6" s="16">
        <f>(Table136789101112[[#This Row],[Expenses To Be Achieved ]]/Table136789101112[[#This Row],[Expenses Total Budget 2026]])*100</f>
        <v>82.466859983429998</v>
      </c>
      <c r="Z6" s="38">
        <v>0</v>
      </c>
      <c r="AA6" s="38">
        <v>0</v>
      </c>
      <c r="AB6" s="38">
        <f>Table136789101112[[#This Row],[Monthly Contribution Actuals]]-Table136789101112[[#This Row],[Monthly Contribution Budget]]</f>
        <v>0</v>
      </c>
      <c r="AC6" s="39">
        <v>0</v>
      </c>
      <c r="AD6" s="38">
        <v>-897</v>
      </c>
      <c r="AE6" s="38">
        <v>-714</v>
      </c>
      <c r="AF6" s="38">
        <f>Table136789101112[[#This Row],[Cumulative Contribution Actuals]]-Table136789101112[[#This Row],[Cumulative Contribution Budget]]</f>
        <v>183</v>
      </c>
      <c r="AG6" s="39">
        <f>-(Table136789101112[[#This Row],[Cumulative Contribution Variance]]/Table136789101112[[#This Row],[Cumulative Contribution Budget]])*100</f>
        <v>20.401337792642142</v>
      </c>
      <c r="AH6" s="38">
        <v>1434</v>
      </c>
      <c r="AI6" s="38">
        <f>Table136789101112[[#This Row],[Contribution Total Budget 2026]]-Table136789101112[[#This Row],[Cumulative Contribution Actuals]]</f>
        <v>2148</v>
      </c>
      <c r="AJ6" s="40">
        <f>(Table136789101112[[#This Row],[Contribution To Be Achieved ]]/Table136789101112[[#This Row],[Contribution Total Budget 2026]])*100</f>
        <v>149.79079497907949</v>
      </c>
    </row>
    <row r="7" spans="1:36" x14ac:dyDescent="0.25">
      <c r="A7" s="10" t="s">
        <v>67</v>
      </c>
      <c r="B7" s="11">
        <v>2026</v>
      </c>
      <c r="C7" s="22" t="s">
        <v>8</v>
      </c>
      <c r="D7" s="13">
        <v>3926</v>
      </c>
      <c r="E7" s="13">
        <v>340</v>
      </c>
      <c r="F7" s="13">
        <f>Table136789101112[[#This Row],[Monthly Revenue Actuals]]-Table136789101112[[#This Row],[Monthly Revenue Budget]]</f>
        <v>-3586</v>
      </c>
      <c r="G7" s="14">
        <f>(Table136789101112[[#This Row],[Monthly Revenue Variance]]/Table136789101112[[#This Row],[Monthly Revenue Budget]])*100</f>
        <v>-91.339786041772797</v>
      </c>
      <c r="H7" s="13">
        <v>6803</v>
      </c>
      <c r="I7" s="13">
        <v>1319</v>
      </c>
      <c r="J7" s="13">
        <f>Table136789101112[[#This Row],[Cumulative Revenue Actuals]]-Table136789101112[[#This Row],[Cumulative Revenue Budget]]</f>
        <v>-5484</v>
      </c>
      <c r="K7" s="14">
        <f>(Table136789101112[[#This Row],[Cumulative Revenue Variance]]/Table136789101112[[#This Row],[Cumulative Revenue Budget]])*100</f>
        <v>-80.611494928707927</v>
      </c>
      <c r="L7" s="13">
        <v>11090</v>
      </c>
      <c r="M7" s="13">
        <f>Table136789101112[[#This Row],[Revenue Total Budget 2026]]-Table136789101112[[#This Row],[Cumulative Revenue Actuals]]</f>
        <v>9771</v>
      </c>
      <c r="N7" s="14">
        <f>(Table136789101112[[#This Row],[Revenue To Be Achieved ]]/Table136789101112[[#This Row],[Revenue Total Budget 2026]])*100</f>
        <v>88.106402164111813</v>
      </c>
      <c r="O7" s="15">
        <v>2249</v>
      </c>
      <c r="P7" s="15">
        <v>628</v>
      </c>
      <c r="Q7" s="15">
        <f>Table136789101112[[#This Row],[Monthly Expenses Budget]]-Table136789101112[[#This Row],[Monthly Expenses Actuals]]</f>
        <v>1621</v>
      </c>
      <c r="R7" s="16">
        <f>(Table136789101112[[#This Row],[Monthly Expenses Variance]]/Table136789101112[[#This Row],[Monthly Expenses Budget]])*100</f>
        <v>72.076478434859936</v>
      </c>
      <c r="S7" s="15">
        <v>6023</v>
      </c>
      <c r="T7" s="15">
        <v>2321</v>
      </c>
      <c r="U7" s="15">
        <f>Table136789101112[[#This Row],[Cumulative Expenses Budget]]-Table136789101112[[#This Row],[Cumulative Expenses Actuals]]</f>
        <v>3702</v>
      </c>
      <c r="V7" s="16">
        <f>(Table136789101112[[#This Row],[Cumulative Expenses Variance]]/Table136789101112[[#This Row],[Cumulative Expenses Budget]])*100</f>
        <v>61.464386518346338</v>
      </c>
      <c r="W7" s="15">
        <v>9656</v>
      </c>
      <c r="X7" s="15">
        <f>Table136789101112[[#This Row],[Expenses Total Budget 2026]]-Table136789101112[[#This Row],[Cumulative Expenses Actuals]]</f>
        <v>7335</v>
      </c>
      <c r="Y7" s="16">
        <f>(Table136789101112[[#This Row],[Expenses To Be Achieved ]]/Table136789101112[[#This Row],[Expenses Total Budget 2026]])*100</f>
        <v>75.963131731565866</v>
      </c>
      <c r="Z7" s="38">
        <v>1676</v>
      </c>
      <c r="AA7" s="38">
        <v>-288</v>
      </c>
      <c r="AB7" s="38">
        <f>Table136789101112[[#This Row],[Monthly Contribution Actuals]]-Table136789101112[[#This Row],[Monthly Contribution Budget]]</f>
        <v>-1964</v>
      </c>
      <c r="AC7" s="39">
        <f>(Table136789101112[[#This Row],[Monthly Contribution Variance]]/Table136789101112[[#This Row],[Monthly Contribution Budget]])*100</f>
        <v>-117.18377088305489</v>
      </c>
      <c r="AD7" s="38">
        <v>779</v>
      </c>
      <c r="AE7" s="38">
        <v>-1002</v>
      </c>
      <c r="AF7" s="38">
        <f>Table136789101112[[#This Row],[Cumulative Contribution Actuals]]-Table136789101112[[#This Row],[Cumulative Contribution Budget]]</f>
        <v>-1781</v>
      </c>
      <c r="AG7" s="39">
        <f>(Table136789101112[[#This Row],[Cumulative Contribution Variance]]/Table136789101112[[#This Row],[Cumulative Contribution Budget]])*100</f>
        <v>-228.62644415917845</v>
      </c>
      <c r="AH7" s="38">
        <v>1434</v>
      </c>
      <c r="AI7" s="38">
        <f>Table136789101112[[#This Row],[Contribution Total Budget 2026]]-Table136789101112[[#This Row],[Cumulative Contribution Actuals]]</f>
        <v>2436</v>
      </c>
      <c r="AJ7" s="40">
        <f>(Table136789101112[[#This Row],[Contribution To Be Achieved ]]/Table136789101112[[#This Row],[Contribution Total Budget 2026]])*100</f>
        <v>169.87447698744771</v>
      </c>
    </row>
    <row r="8" spans="1:36" x14ac:dyDescent="0.25">
      <c r="A8" s="10" t="s">
        <v>67</v>
      </c>
      <c r="B8" s="11">
        <v>2026</v>
      </c>
      <c r="C8" s="11" t="s">
        <v>9</v>
      </c>
      <c r="D8" s="13">
        <f>Table136789101112[[#This Row],[Cumulative Revenue Budget]]-H7</f>
        <v>775</v>
      </c>
      <c r="E8" s="13">
        <f>Table136789101112[[#This Row],[Cumulative Revenue Actuals]]-I7</f>
        <v>3406</v>
      </c>
      <c r="F8" s="13">
        <f>Table136789101112[[#This Row],[Monthly Revenue Actuals]]-Table136789101112[[#This Row],[Monthly Revenue Budget]]</f>
        <v>2631</v>
      </c>
      <c r="G8" s="14">
        <f>(Table136789101112[[#This Row],[Monthly Revenue Variance]]/Table136789101112[[#This Row],[Monthly Revenue Budget]])*100</f>
        <v>339.48387096774195</v>
      </c>
      <c r="H8" s="13">
        <v>7578</v>
      </c>
      <c r="I8" s="13">
        <v>4725</v>
      </c>
      <c r="J8" s="13">
        <f>Table136789101112[[#This Row],[Cumulative Revenue Actuals]]-Table136789101112[[#This Row],[Cumulative Revenue Budget]]</f>
        <v>-2853</v>
      </c>
      <c r="K8" s="14">
        <f>(Table136789101112[[#This Row],[Cumulative Revenue Variance]]/Table136789101112[[#This Row],[Cumulative Revenue Budget]])*100</f>
        <v>-37.648456057007124</v>
      </c>
      <c r="L8" s="13">
        <v>11090</v>
      </c>
      <c r="M8" s="13">
        <f>Table136789101112[[#This Row],[Revenue Total Budget 2026]]-Table136789101112[[#This Row],[Cumulative Revenue Actuals]]</f>
        <v>6365</v>
      </c>
      <c r="N8" s="14">
        <f>(Table136789101112[[#This Row],[Revenue To Be Achieved ]]/Table136789101112[[#This Row],[Revenue Total Budget 2026]])*100</f>
        <v>57.394048692515774</v>
      </c>
      <c r="O8" s="15">
        <f>Table136789101112[[#This Row],[Cumulative Expenses Budget]]-S7</f>
        <v>606</v>
      </c>
      <c r="P8" s="15">
        <f>Table136789101112[[#This Row],[Cumulative Expenses Actuals]]-T7</f>
        <v>2013</v>
      </c>
      <c r="Q8" s="15">
        <f>Table136789101112[[#This Row],[Monthly Expenses Budget]]-Table136789101112[[#This Row],[Monthly Expenses Actuals]]</f>
        <v>-1407</v>
      </c>
      <c r="R8" s="16">
        <f>(Table136789101112[[#This Row],[Monthly Expenses Variance]]/Table136789101112[[#This Row],[Monthly Expenses Budget]])*100</f>
        <v>-232.17821782178217</v>
      </c>
      <c r="S8" s="15">
        <v>6629</v>
      </c>
      <c r="T8" s="15">
        <v>4334</v>
      </c>
      <c r="U8" s="15">
        <f>Table136789101112[[#This Row],[Cumulative Expenses Budget]]-Table136789101112[[#This Row],[Cumulative Expenses Actuals]]</f>
        <v>2295</v>
      </c>
      <c r="V8" s="16">
        <f>(Table136789101112[[#This Row],[Cumulative Expenses Variance]]/Table136789101112[[#This Row],[Cumulative Expenses Budget]])*100</f>
        <v>34.62060642630864</v>
      </c>
      <c r="W8" s="15">
        <v>9656</v>
      </c>
      <c r="X8" s="15">
        <f>Table136789101112[[#This Row],[Expenses Total Budget 2026]]-Table136789101112[[#This Row],[Cumulative Expenses Actuals]]</f>
        <v>5322</v>
      </c>
      <c r="Y8" s="16">
        <f>(Table136789101112[[#This Row],[Expenses To Be Achieved ]]/Table136789101112[[#This Row],[Expenses Total Budget 2026]])*100</f>
        <v>55.11599005799502</v>
      </c>
      <c r="Z8" s="38">
        <f>Table136789101112[[#This Row],[Cumulative Contribution Budget]]-AD7</f>
        <v>170</v>
      </c>
      <c r="AA8" s="38">
        <f>Table136789101112[[#This Row],[Cumulative Contribution Actuals]]-AE7</f>
        <v>1393</v>
      </c>
      <c r="AB8" s="38">
        <f>Table136789101112[[#This Row],[Monthly Contribution Actuals]]-Table136789101112[[#This Row],[Monthly Contribution Budget]]</f>
        <v>1223</v>
      </c>
      <c r="AC8" s="39">
        <f>(Table136789101112[[#This Row],[Monthly Contribution Variance]]/Table136789101112[[#This Row],[Monthly Contribution Budget]])*100</f>
        <v>719.41176470588232</v>
      </c>
      <c r="AD8" s="38">
        <v>949</v>
      </c>
      <c r="AE8" s="38">
        <v>391</v>
      </c>
      <c r="AF8" s="38">
        <f>Table136789101112[[#This Row],[Cumulative Contribution Actuals]]-Table136789101112[[#This Row],[Cumulative Contribution Budget]]</f>
        <v>-558</v>
      </c>
      <c r="AG8" s="39">
        <f>(Table136789101112[[#This Row],[Cumulative Contribution Variance]]/Table136789101112[[#This Row],[Cumulative Contribution Budget]])*100</f>
        <v>-58.79873551106428</v>
      </c>
      <c r="AH8" s="38">
        <v>1434</v>
      </c>
      <c r="AI8" s="38">
        <f>Table136789101112[[#This Row],[Contribution Total Budget 2026]]-Table136789101112[[#This Row],[Cumulative Contribution Actuals]]</f>
        <v>1043</v>
      </c>
      <c r="AJ8" s="40">
        <f>(Table136789101112[[#This Row],[Contribution To Be Achieved ]]/Table136789101112[[#This Row],[Contribution Total Budget 2026]])*100</f>
        <v>72.733612273361231</v>
      </c>
    </row>
    <row r="9" spans="1:36" x14ac:dyDescent="0.25">
      <c r="A9" s="10" t="s">
        <v>67</v>
      </c>
      <c r="B9" s="11">
        <v>2026</v>
      </c>
      <c r="C9" s="22" t="s">
        <v>10</v>
      </c>
      <c r="D9" s="13">
        <f>Table136789101112[[#This Row],[Cumulative Revenue Budget]]-H8</f>
        <v>775</v>
      </c>
      <c r="E9" s="13">
        <f>Table136789101112[[#This Row],[Cumulative Revenue Actuals]]-I8</f>
        <v>-28</v>
      </c>
      <c r="F9" s="13">
        <f>Table136789101112[[#This Row],[Monthly Revenue Actuals]]-Table136789101112[[#This Row],[Monthly Revenue Budget]]</f>
        <v>-803</v>
      </c>
      <c r="G9" s="14">
        <f>(Table136789101112[[#This Row],[Monthly Revenue Variance]]/Table136789101112[[#This Row],[Monthly Revenue Budget]])*100</f>
        <v>-103.61290322580645</v>
      </c>
      <c r="H9" s="13">
        <v>8353</v>
      </c>
      <c r="I9" s="13">
        <v>4697</v>
      </c>
      <c r="J9" s="13">
        <f>Table136789101112[[#This Row],[Cumulative Revenue Actuals]]-Table136789101112[[#This Row],[Cumulative Revenue Budget]]</f>
        <v>-3656</v>
      </c>
      <c r="K9" s="14">
        <f>(Table136789101112[[#This Row],[Cumulative Revenue Variance]]/Table136789101112[[#This Row],[Cumulative Revenue Budget]])*100</f>
        <v>-43.768705854184127</v>
      </c>
      <c r="L9" s="13">
        <v>11090</v>
      </c>
      <c r="M9" s="13">
        <f>Table136789101112[[#This Row],[Revenue Total Budget 2026]]-Table136789101112[[#This Row],[Cumulative Revenue Actuals]]</f>
        <v>6393</v>
      </c>
      <c r="N9" s="14">
        <f>(Table136789101112[[#This Row],[Revenue To Be Achieved ]]/Table136789101112[[#This Row],[Revenue Total Budget 2026]])*100</f>
        <v>57.646528403967537</v>
      </c>
      <c r="O9" s="15">
        <f>Table136789101112[[#This Row],[Cumulative Expenses Budget]]-S8</f>
        <v>605</v>
      </c>
      <c r="P9" s="15">
        <f>Table136789101112[[#This Row],[Cumulative Expenses Actuals]]-T8</f>
        <v>1262</v>
      </c>
      <c r="Q9" s="15">
        <f>Table136789101112[[#This Row],[Monthly Expenses Budget]]-Table136789101112[[#This Row],[Monthly Expenses Actuals]]</f>
        <v>-657</v>
      </c>
      <c r="R9" s="16">
        <f>(Table136789101112[[#This Row],[Monthly Expenses Variance]]/Table136789101112[[#This Row],[Monthly Expenses Budget]])*100</f>
        <v>-108.59504132231406</v>
      </c>
      <c r="S9" s="15">
        <v>7234</v>
      </c>
      <c r="T9" s="15">
        <v>5596</v>
      </c>
      <c r="U9" s="15">
        <f>Table136789101112[[#This Row],[Cumulative Expenses Budget]]-Table136789101112[[#This Row],[Cumulative Expenses Actuals]]</f>
        <v>1638</v>
      </c>
      <c r="V9" s="16">
        <f>(Table136789101112[[#This Row],[Cumulative Expenses Variance]]/Table136789101112[[#This Row],[Cumulative Expenses Budget]])*100</f>
        <v>22.643074371025712</v>
      </c>
      <c r="W9" s="15">
        <v>9656</v>
      </c>
      <c r="X9" s="15">
        <f>Table136789101112[[#This Row],[Expenses Total Budget 2026]]-Table136789101112[[#This Row],[Cumulative Expenses Actuals]]</f>
        <v>4060</v>
      </c>
      <c r="Y9" s="16">
        <f>(Table136789101112[[#This Row],[Expenses To Be Achieved ]]/Table136789101112[[#This Row],[Expenses Total Budget 2026]])*100</f>
        <v>42.046396023198014</v>
      </c>
      <c r="Z9" s="38">
        <f>Table136789101112[[#This Row],[Cumulative Contribution Budget]]-AD8</f>
        <v>170</v>
      </c>
      <c r="AA9" s="38">
        <f>Table136789101112[[#This Row],[Cumulative Contribution Actuals]]-AE8</f>
        <v>-1289</v>
      </c>
      <c r="AB9" s="38">
        <f>Table136789101112[[#This Row],[Monthly Contribution Actuals]]-Table136789101112[[#This Row],[Monthly Contribution Budget]]</f>
        <v>-1459</v>
      </c>
      <c r="AC9" s="39">
        <f>(Table136789101112[[#This Row],[Monthly Contribution Variance]]/Table136789101112[[#This Row],[Monthly Contribution Budget]])*100</f>
        <v>-858.23529411764707</v>
      </c>
      <c r="AD9" s="38">
        <v>1119</v>
      </c>
      <c r="AE9" s="38">
        <v>-898</v>
      </c>
      <c r="AF9" s="38">
        <f>Table136789101112[[#This Row],[Cumulative Contribution Actuals]]-Table136789101112[[#This Row],[Cumulative Contribution Budget]]</f>
        <v>-2017</v>
      </c>
      <c r="AG9" s="39">
        <f>(Table136789101112[[#This Row],[Cumulative Contribution Variance]]/Table136789101112[[#This Row],[Cumulative Contribution Budget]])*100</f>
        <v>-180.25022341376228</v>
      </c>
      <c r="AH9" s="38">
        <v>1434</v>
      </c>
      <c r="AI9" s="38">
        <f>Table136789101112[[#This Row],[Contribution Total Budget 2026]]-Table136789101112[[#This Row],[Cumulative Contribution Actuals]]</f>
        <v>2332</v>
      </c>
      <c r="AJ9" s="40">
        <f>(Table136789101112[[#This Row],[Contribution To Be Achieved ]]/Table136789101112[[#This Row],[Contribution Total Budget 2026]])*100</f>
        <v>162.62203626220361</v>
      </c>
    </row>
    <row r="10" spans="1:36" x14ac:dyDescent="0.25">
      <c r="A10" s="10" t="s">
        <v>67</v>
      </c>
      <c r="B10" s="11">
        <v>2026</v>
      </c>
      <c r="C10" s="11" t="s">
        <v>11</v>
      </c>
      <c r="D10" s="13"/>
      <c r="E10" s="13"/>
      <c r="F10" s="13"/>
      <c r="G10" s="14"/>
      <c r="H10" s="13"/>
      <c r="I10" s="13"/>
      <c r="J10" s="13"/>
      <c r="K10" s="14"/>
      <c r="L10" s="13"/>
      <c r="M10" s="13"/>
      <c r="N10" s="14"/>
      <c r="O10" s="15"/>
      <c r="P10" s="15"/>
      <c r="Q10" s="15"/>
      <c r="R10" s="16"/>
      <c r="S10" s="15"/>
      <c r="T10" s="15"/>
      <c r="U10" s="15"/>
      <c r="V10" s="16"/>
      <c r="W10" s="15"/>
      <c r="X10" s="15"/>
      <c r="Y10" s="16"/>
      <c r="Z10" s="38"/>
      <c r="AA10" s="38"/>
      <c r="AB10" s="38"/>
      <c r="AC10" s="39"/>
      <c r="AD10" s="38"/>
      <c r="AE10" s="38"/>
      <c r="AF10" s="38"/>
      <c r="AG10" s="39"/>
      <c r="AH10" s="38"/>
      <c r="AI10" s="38"/>
      <c r="AJ10" s="40"/>
    </row>
    <row r="11" spans="1:36" x14ac:dyDescent="0.25">
      <c r="A11" s="10" t="s">
        <v>67</v>
      </c>
      <c r="B11" s="11">
        <v>2026</v>
      </c>
      <c r="C11" s="22" t="s">
        <v>12</v>
      </c>
      <c r="D11" s="13"/>
      <c r="E11" s="13"/>
      <c r="F11" s="13"/>
      <c r="G11" s="14"/>
      <c r="H11" s="13"/>
      <c r="I11" s="13"/>
      <c r="J11" s="13"/>
      <c r="K11" s="14"/>
      <c r="L11" s="13"/>
      <c r="M11" s="13"/>
      <c r="N11" s="14"/>
      <c r="O11" s="15"/>
      <c r="P11" s="15"/>
      <c r="Q11" s="15"/>
      <c r="R11" s="16"/>
      <c r="S11" s="15"/>
      <c r="T11" s="15"/>
      <c r="U11" s="15"/>
      <c r="V11" s="16"/>
      <c r="W11" s="15"/>
      <c r="X11" s="15"/>
      <c r="Y11" s="16"/>
      <c r="Z11" s="38"/>
      <c r="AA11" s="38"/>
      <c r="AB11" s="38"/>
      <c r="AC11" s="39"/>
      <c r="AD11" s="38"/>
      <c r="AE11" s="38"/>
      <c r="AF11" s="38"/>
      <c r="AG11" s="39"/>
      <c r="AH11" s="38"/>
      <c r="AI11" s="38"/>
      <c r="AJ11" s="40"/>
    </row>
    <row r="12" spans="1:36" x14ac:dyDescent="0.25">
      <c r="A12" s="10" t="s">
        <v>67</v>
      </c>
      <c r="B12" s="11">
        <v>2026</v>
      </c>
      <c r="C12" s="11" t="s">
        <v>13</v>
      </c>
      <c r="D12" s="41"/>
      <c r="E12" s="13"/>
      <c r="F12" s="13"/>
      <c r="G12" s="14"/>
      <c r="H12" s="13"/>
      <c r="I12" s="13"/>
      <c r="J12" s="13"/>
      <c r="K12" s="14"/>
      <c r="L12" s="13"/>
      <c r="M12" s="13"/>
      <c r="N12" s="13"/>
      <c r="O12" s="15"/>
      <c r="P12" s="15"/>
      <c r="Q12" s="15"/>
      <c r="R12" s="16"/>
      <c r="S12" s="15"/>
      <c r="T12" s="15"/>
      <c r="U12" s="15"/>
      <c r="V12" s="16"/>
      <c r="W12" s="15"/>
      <c r="X12" s="15"/>
      <c r="Y12" s="16"/>
      <c r="Z12" s="38"/>
      <c r="AA12" s="38"/>
      <c r="AB12" s="38"/>
      <c r="AC12" s="39"/>
      <c r="AD12" s="38"/>
      <c r="AE12" s="38"/>
      <c r="AF12" s="38"/>
      <c r="AG12" s="39"/>
      <c r="AH12" s="38"/>
      <c r="AI12" s="38"/>
      <c r="AJ12" s="40"/>
    </row>
    <row r="13" spans="1:36" x14ac:dyDescent="0.25">
      <c r="A13" s="23" t="s">
        <v>67</v>
      </c>
      <c r="B13" s="42">
        <v>2026</v>
      </c>
      <c r="C13" s="24" t="s">
        <v>14</v>
      </c>
      <c r="D13" s="25"/>
      <c r="E13" s="25"/>
      <c r="F13" s="25"/>
      <c r="G13" s="26"/>
      <c r="H13" s="25"/>
      <c r="I13" s="25"/>
      <c r="J13" s="25"/>
      <c r="K13" s="26"/>
      <c r="L13" s="25"/>
      <c r="M13" s="25"/>
      <c r="N13" s="26"/>
      <c r="O13" s="27"/>
      <c r="P13" s="27"/>
      <c r="Q13" s="27"/>
      <c r="R13" s="28"/>
      <c r="S13" s="27"/>
      <c r="T13" s="27"/>
      <c r="U13" s="27"/>
      <c r="V13" s="28"/>
      <c r="W13" s="27"/>
      <c r="X13" s="27"/>
      <c r="Y13" s="28"/>
      <c r="Z13" s="43"/>
      <c r="AA13" s="43"/>
      <c r="AB13" s="43"/>
      <c r="AC13" s="44"/>
      <c r="AD13" s="43"/>
      <c r="AE13" s="43"/>
      <c r="AF13" s="43"/>
      <c r="AG13" s="44"/>
      <c r="AH13" s="43"/>
      <c r="AI13" s="43"/>
      <c r="AJ13" s="45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6E51C-753C-48D4-8860-327DFACE8E9D}">
  <sheetPr codeName="Sheet20"/>
  <dimension ref="A1:AJ13"/>
  <sheetViews>
    <sheetView tabSelected="1" topLeftCell="J1" zoomScale="130" zoomScaleNormal="130" workbookViewId="0">
      <selection activeCell="J9" sqref="J9"/>
    </sheetView>
  </sheetViews>
  <sheetFormatPr defaultRowHeight="15" x14ac:dyDescent="0.25"/>
  <cols>
    <col min="1" max="1" width="18.85546875" customWidth="1"/>
    <col min="2" max="2" width="7.140625" customWidth="1"/>
    <col min="4" max="4" width="22.140625" customWidth="1"/>
    <col min="5" max="5" width="22.5703125" customWidth="1"/>
    <col min="6" max="6" width="23.5703125" customWidth="1"/>
    <col min="7" max="7" width="25.42578125" customWidth="1"/>
    <col min="8" max="8" width="25.140625" customWidth="1"/>
    <col min="9" max="9" width="24.5703125" customWidth="1"/>
    <col min="10" max="10" width="26.42578125" customWidth="1"/>
    <col min="11" max="11" width="28.28515625" customWidth="1"/>
    <col min="12" max="12" width="23.85546875" customWidth="1"/>
    <col min="13" max="13" width="22" customWidth="1"/>
    <col min="14" max="14" width="23.140625" customWidth="1"/>
    <col min="15" max="15" width="22.85546875" customWidth="1"/>
    <col min="16" max="16" width="23.42578125" customWidth="1"/>
    <col min="17" max="17" width="24.42578125" customWidth="1"/>
    <col min="18" max="18" width="26.140625" customWidth="1"/>
    <col min="19" max="19" width="25.85546875" customWidth="1"/>
    <col min="20" max="20" width="25.42578125" customWidth="1"/>
    <col min="21" max="21" width="27.28515625" customWidth="1"/>
    <col min="22" max="22" width="29.140625" customWidth="1"/>
    <col min="23" max="23" width="24.7109375" customWidth="1"/>
    <col min="24" max="24" width="22.85546875" customWidth="1"/>
    <col min="25" max="25" width="23.85546875" customWidth="1"/>
    <col min="26" max="26" width="17.5703125" customWidth="1"/>
    <col min="27" max="27" width="24.42578125" customWidth="1"/>
    <col min="28" max="28" width="26.7109375" customWidth="1"/>
    <col min="29" max="29" width="28.5703125" customWidth="1"/>
    <col min="30" max="30" width="28.28515625" customWidth="1"/>
    <col min="31" max="31" width="27.85546875" customWidth="1"/>
    <col min="32" max="32" width="29.7109375" customWidth="1"/>
    <col min="33" max="33" width="31.5703125" customWidth="1"/>
    <col min="34" max="34" width="27.140625" customWidth="1"/>
    <col min="35" max="35" width="25.28515625" customWidth="1"/>
    <col min="36" max="36" width="26.42578125" customWidth="1"/>
  </cols>
  <sheetData>
    <row r="1" spans="1:36" s="1" customFormat="1" ht="45" x14ac:dyDescent="0.25">
      <c r="A1" s="2" t="s">
        <v>0</v>
      </c>
      <c r="B1" s="3" t="s">
        <v>1</v>
      </c>
      <c r="C1" s="3" t="s">
        <v>2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56</v>
      </c>
      <c r="J1" s="4" t="s">
        <v>21</v>
      </c>
      <c r="K1" s="4" t="s">
        <v>22</v>
      </c>
      <c r="L1" s="4" t="s">
        <v>89</v>
      </c>
      <c r="M1" s="4" t="s">
        <v>23</v>
      </c>
      <c r="N1" s="4" t="s">
        <v>24</v>
      </c>
      <c r="O1" s="5" t="s">
        <v>25</v>
      </c>
      <c r="P1" s="5" t="s">
        <v>26</v>
      </c>
      <c r="Q1" s="5" t="s">
        <v>27</v>
      </c>
      <c r="R1" s="5" t="s">
        <v>28</v>
      </c>
      <c r="S1" s="5" t="s">
        <v>29</v>
      </c>
      <c r="T1" s="5" t="s">
        <v>55</v>
      </c>
      <c r="U1" s="5" t="s">
        <v>30</v>
      </c>
      <c r="V1" s="5" t="s">
        <v>31</v>
      </c>
      <c r="W1" s="5" t="s">
        <v>90</v>
      </c>
      <c r="X1" s="5" t="s">
        <v>32</v>
      </c>
      <c r="Y1" s="5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7" t="s">
        <v>57</v>
      </c>
      <c r="AF1" s="7" t="s">
        <v>39</v>
      </c>
      <c r="AG1" s="7" t="s">
        <v>40</v>
      </c>
      <c r="AH1" s="7" t="s">
        <v>91</v>
      </c>
      <c r="AI1" s="7" t="s">
        <v>41</v>
      </c>
      <c r="AJ1" s="35" t="s">
        <v>42</v>
      </c>
    </row>
    <row r="2" spans="1:36" x14ac:dyDescent="0.25">
      <c r="A2" s="10" t="s">
        <v>68</v>
      </c>
      <c r="B2" s="11">
        <v>2026</v>
      </c>
      <c r="C2" s="12" t="s">
        <v>3</v>
      </c>
      <c r="D2" s="13">
        <v>37493</v>
      </c>
      <c r="E2" s="13">
        <v>32075.64834</v>
      </c>
      <c r="F2" s="13">
        <f>Table13678910111213[[#This Row],[Monthly Revenue Actuals]]-Table13678910111213[[#This Row],[Monthly Revenue Budget]]</f>
        <v>-5417.3516600000003</v>
      </c>
      <c r="G2" s="14">
        <f>(Table13678910111213[[#This Row],[Monthly Revenue Variance]]/Table13678910111213[[#This Row],[Monthly Revenue Budget]])*100</f>
        <v>-14.448968234070362</v>
      </c>
      <c r="H2" s="13">
        <v>37493</v>
      </c>
      <c r="I2" s="13">
        <v>32075.64834</v>
      </c>
      <c r="J2" s="13">
        <f>Table13678910111213[[#This Row],[Cumulative Revenue Actuals]]-Table13678910111213[[#This Row],[Cumulative Revenue Budget]]</f>
        <v>-5417.3516600000003</v>
      </c>
      <c r="K2" s="14">
        <f>(Table13678910111213[[#This Row],[Cumulative Revenue Variance]]/Table13678910111213[[#This Row],[Cumulative Revenue Budget]])*100</f>
        <v>-14.448968234070362</v>
      </c>
      <c r="L2" s="13">
        <v>586614</v>
      </c>
      <c r="M2" s="13">
        <f>Table13678910111213[[#This Row],[Revenue Total Budget 2026]]-Table13678910111213[[#This Row],[Cumulative Revenue Actuals]]</f>
        <v>554538.35166000004</v>
      </c>
      <c r="N2" s="14">
        <f>(Table13678910111213[[#This Row],[Revenue To Be Achieved ]]/Table13678910111213[[#This Row],[Revenue Total Budget 2026]])*100</f>
        <v>94.532069070973421</v>
      </c>
      <c r="O2" s="15">
        <v>24803</v>
      </c>
      <c r="P2" s="15">
        <v>19996.583273333301</v>
      </c>
      <c r="Q2" s="15">
        <f>Table13678910111213[[#This Row],[Monthly Expenses Budget]]-Table13678910111213[[#This Row],[Monthly Expenses Actuals]]</f>
        <v>4806.4167266666991</v>
      </c>
      <c r="R2" s="16">
        <f>(Table13678910111213[[#This Row],[Monthly Expenses Variance]]/Table13678910111213[[#This Row],[Monthly Expenses Budget]])*100</f>
        <v>19.378368450053216</v>
      </c>
      <c r="S2" s="15">
        <v>24803</v>
      </c>
      <c r="T2" s="15">
        <v>19996.583273333301</v>
      </c>
      <c r="U2" s="15">
        <f>Table13678910111213[[#This Row],[Cumulative Expenses Budget]]-Table13678910111213[[#This Row],[Cumulative Expenses Actuals]]</f>
        <v>4806.4167266666991</v>
      </c>
      <c r="V2" s="16">
        <f>(Table13678910111213[[#This Row],[Cumulative Expenses Variance]]/Table13678910111213[[#This Row],[Cumulative Expenses Budget]])*100</f>
        <v>19.378368450053216</v>
      </c>
      <c r="W2" s="15">
        <v>370637</v>
      </c>
      <c r="X2" s="15">
        <f>Table13678910111213[[#This Row],[Expenses Total Budget 2026]]-Table13678910111213[[#This Row],[Cumulative Expenses Actuals]]</f>
        <v>350640.41672666668</v>
      </c>
      <c r="Y2" s="16">
        <f>(Table13678910111213[[#This Row],[Expenses To Be Achieved ]]/Table13678910111213[[#This Row],[Expenses Total Budget 2026]])*100</f>
        <v>94.604806515989139</v>
      </c>
      <c r="Z2" s="38">
        <v>12690</v>
      </c>
      <c r="AA2" s="38">
        <v>12079.065066666666</v>
      </c>
      <c r="AB2" s="38">
        <f>Table13678910111213[[#This Row],[Monthly Contribution Actuals]]-Table13678910111213[[#This Row],[Monthly Contribution Budget]]</f>
        <v>-610.9349333333339</v>
      </c>
      <c r="AC2" s="39">
        <f>(Table13678910111213[[#This Row],[Monthly Contribution Variance]]/Table13678910111213[[#This Row],[Monthly Contribution Budget]])*100</f>
        <v>-4.8143020751247745</v>
      </c>
      <c r="AD2" s="38">
        <v>12690</v>
      </c>
      <c r="AE2" s="38">
        <v>12079.065066666666</v>
      </c>
      <c r="AF2" s="38">
        <f>Table13678910111213[[#This Row],[Cumulative Contribution Actuals]]-Table13678910111213[[#This Row],[Cumulative Contribution Budget]]</f>
        <v>-610.9349333333339</v>
      </c>
      <c r="AG2" s="39">
        <f>(Table13678910111213[[#This Row],[Cumulative Contribution Variance]]/Table13678910111213[[#This Row],[Cumulative Contribution Budget]])*100</f>
        <v>-4.8143020751247745</v>
      </c>
      <c r="AH2" s="38">
        <v>215977</v>
      </c>
      <c r="AI2" s="38">
        <f>Table13678910111213[[#This Row],[Contribution Total Budget 2026]]-Table13678910111213[[#This Row],[Cumulative Contribution Actuals]]</f>
        <v>203897.93493333334</v>
      </c>
      <c r="AJ2" s="40">
        <f>(Table13678910111213[[#This Row],[Contribution To Be Achieved ]]/Table13678910111213[[#This Row],[Contribution Total Budget 2026]])*100</f>
        <v>94.40724472204603</v>
      </c>
    </row>
    <row r="3" spans="1:36" x14ac:dyDescent="0.25">
      <c r="A3" s="10" t="s">
        <v>68</v>
      </c>
      <c r="B3" s="11">
        <v>2026</v>
      </c>
      <c r="C3" s="22" t="s">
        <v>4</v>
      </c>
      <c r="D3" s="13">
        <v>37714</v>
      </c>
      <c r="E3" s="13">
        <v>38499.656669999997</v>
      </c>
      <c r="F3" s="13">
        <f>Table13678910111213[[#This Row],[Monthly Revenue Actuals]]-Table13678910111213[[#This Row],[Monthly Revenue Budget]]</f>
        <v>785.65666999999667</v>
      </c>
      <c r="G3" s="14">
        <f>(Table13678910111213[[#This Row],[Monthly Revenue Variance]]/Table13678910111213[[#This Row],[Monthly Revenue Budget]])*100</f>
        <v>2.0831963461844318</v>
      </c>
      <c r="H3" s="13">
        <v>75207</v>
      </c>
      <c r="I3" s="13">
        <v>70575.305009999996</v>
      </c>
      <c r="J3" s="13">
        <f>Table13678910111213[[#This Row],[Cumulative Revenue Actuals]]-Table13678910111213[[#This Row],[Cumulative Revenue Budget]]</f>
        <v>-4631.6949900000036</v>
      </c>
      <c r="K3" s="14">
        <f>(Table13678910111213[[#This Row],[Cumulative Revenue Variance]]/Table13678910111213[[#This Row],[Cumulative Revenue Budget]])*100</f>
        <v>-6.1585955961546182</v>
      </c>
      <c r="L3" s="13">
        <v>586614</v>
      </c>
      <c r="M3" s="13">
        <f>Table13678910111213[[#This Row],[Revenue Total Budget 2026]]-Table13678910111213[[#This Row],[Cumulative Revenue Actuals]]</f>
        <v>516038.69498999999</v>
      </c>
      <c r="N3" s="14">
        <f>(Table13678910111213[[#This Row],[Revenue To Be Achieved ]]/Table13678910111213[[#This Row],[Revenue Total Budget 2026]])*100</f>
        <v>87.96903841197107</v>
      </c>
      <c r="O3" s="15">
        <v>24804</v>
      </c>
      <c r="P3" s="15">
        <v>21971.416726666699</v>
      </c>
      <c r="Q3" s="15">
        <f>Table13678910111213[[#This Row],[Monthly Expenses Budget]]-Table13678910111213[[#This Row],[Monthly Expenses Actuals]]</f>
        <v>2832.5832733333009</v>
      </c>
      <c r="R3" s="16">
        <f>(Table13678910111213[[#This Row],[Monthly Expenses Variance]]/Table13678910111213[[#This Row],[Monthly Expenses Budget]])*100</f>
        <v>11.419864833628854</v>
      </c>
      <c r="S3" s="15">
        <v>49607</v>
      </c>
      <c r="T3" s="15">
        <v>41968</v>
      </c>
      <c r="U3" s="15">
        <f>Table13678910111213[[#This Row],[Cumulative Expenses Budget]]-Table13678910111213[[#This Row],[Cumulative Expenses Actuals]]</f>
        <v>7639</v>
      </c>
      <c r="V3" s="16">
        <f>(Table13678910111213[[#This Row],[Cumulative Expenses Variance]]/Table13678910111213[[#This Row],[Cumulative Expenses Budget]])*100</f>
        <v>15.399036426310802</v>
      </c>
      <c r="W3" s="15">
        <v>370637</v>
      </c>
      <c r="X3" s="15">
        <f>Table13678910111213[[#This Row],[Expenses Total Budget 2026]]-Table13678910111213[[#This Row],[Cumulative Expenses Actuals]]</f>
        <v>328669</v>
      </c>
      <c r="Y3" s="16">
        <f>(Table13678910111213[[#This Row],[Expenses To Be Achieved ]]/Table13678910111213[[#This Row],[Expenses Total Budget 2026]])*100</f>
        <v>88.676791577743188</v>
      </c>
      <c r="Z3" s="38">
        <v>12910</v>
      </c>
      <c r="AA3" s="38">
        <v>16527.934933333334</v>
      </c>
      <c r="AB3" s="38">
        <f>Table13678910111213[[#This Row],[Monthly Contribution Actuals]]-Table13678910111213[[#This Row],[Monthly Contribution Budget]]</f>
        <v>3617.9349333333339</v>
      </c>
      <c r="AC3" s="39">
        <f>(Table13678910111213[[#This Row],[Monthly Contribution Variance]]/Table13678910111213[[#This Row],[Monthly Contribution Budget]])*100</f>
        <v>28.024282984766337</v>
      </c>
      <c r="AD3" s="38">
        <v>25600</v>
      </c>
      <c r="AE3" s="38">
        <v>28607</v>
      </c>
      <c r="AF3" s="38">
        <f>Table13678910111213[[#This Row],[Cumulative Contribution Actuals]]-Table13678910111213[[#This Row],[Cumulative Contribution Budget]]</f>
        <v>3007</v>
      </c>
      <c r="AG3" s="39">
        <f>(Table13678910111213[[#This Row],[Cumulative Contribution Variance]]/Table13678910111213[[#This Row],[Cumulative Contribution Budget]])*100</f>
        <v>11.74609375</v>
      </c>
      <c r="AH3" s="38">
        <v>215977</v>
      </c>
      <c r="AI3" s="38">
        <f>Table13678910111213[[#This Row],[Contribution Total Budget 2026]]-Table13678910111213[[#This Row],[Cumulative Contribution Actuals]]</f>
        <v>187370</v>
      </c>
      <c r="AJ3" s="40">
        <f>(Table13678910111213[[#This Row],[Contribution To Be Achieved ]]/Table13678910111213[[#This Row],[Contribution Total Budget 2026]])*100</f>
        <v>86.754608129569348</v>
      </c>
    </row>
    <row r="4" spans="1:36" x14ac:dyDescent="0.25">
      <c r="A4" s="10" t="s">
        <v>68</v>
      </c>
      <c r="B4" s="11">
        <v>2026</v>
      </c>
      <c r="C4" s="11" t="s">
        <v>5</v>
      </c>
      <c r="D4" s="13">
        <v>37729</v>
      </c>
      <c r="E4" s="13">
        <v>48517.694990000004</v>
      </c>
      <c r="F4" s="13">
        <f>Table13678910111213[[#This Row],[Monthly Revenue Actuals]]-Table13678910111213[[#This Row],[Monthly Revenue Budget]]</f>
        <v>10788.694990000004</v>
      </c>
      <c r="G4" s="14">
        <f>(Table13678910111213[[#This Row],[Monthly Revenue Variance]]/Table13678910111213[[#This Row],[Monthly Revenue Budget]])*100</f>
        <v>28.595231758064099</v>
      </c>
      <c r="H4" s="13">
        <v>112936</v>
      </c>
      <c r="I4" s="13">
        <v>119093</v>
      </c>
      <c r="J4" s="13">
        <f>Table13678910111213[[#This Row],[Cumulative Revenue Actuals]]-Table13678910111213[[#This Row],[Cumulative Revenue Budget]]</f>
        <v>6157</v>
      </c>
      <c r="K4" s="14">
        <f>(Table13678910111213[[#This Row],[Cumulative Revenue Variance]]/Table13678910111213[[#This Row],[Cumulative Revenue Budget]])*100</f>
        <v>5.4517602890132464</v>
      </c>
      <c r="L4" s="13">
        <v>586614</v>
      </c>
      <c r="M4" s="13">
        <f>Table13678910111213[[#This Row],[Revenue Total Budget 2026]]-Table13678910111213[[#This Row],[Cumulative Revenue Actuals]]</f>
        <v>467521</v>
      </c>
      <c r="N4" s="14">
        <f>(Table13678910111213[[#This Row],[Revenue To Be Achieved ]]/Table13678910111213[[#This Row],[Revenue Total Budget 2026]])*100</f>
        <v>79.698234273304081</v>
      </c>
      <c r="O4" s="15">
        <v>25637</v>
      </c>
      <c r="P4" s="15">
        <v>16623</v>
      </c>
      <c r="Q4" s="15">
        <f>Table13678910111213[[#This Row],[Monthly Expenses Budget]]-Table13678910111213[[#This Row],[Monthly Expenses Actuals]]</f>
        <v>9014</v>
      </c>
      <c r="R4" s="16">
        <f>(Table13678910111213[[#This Row],[Monthly Expenses Variance]]/Table13678910111213[[#This Row],[Monthly Expenses Budget]])*100</f>
        <v>35.160120138861799</v>
      </c>
      <c r="S4" s="15">
        <v>75244</v>
      </c>
      <c r="T4" s="15">
        <v>58591</v>
      </c>
      <c r="U4" s="15">
        <f>Table13678910111213[[#This Row],[Cumulative Expenses Budget]]-Table13678910111213[[#This Row],[Cumulative Expenses Actuals]]</f>
        <v>16653</v>
      </c>
      <c r="V4" s="16">
        <f>(Table13678910111213[[#This Row],[Cumulative Expenses Variance]]/Table13678910111213[[#This Row],[Cumulative Expenses Budget]])*100</f>
        <v>22.131997235659988</v>
      </c>
      <c r="W4" s="15">
        <v>370637</v>
      </c>
      <c r="X4" s="15">
        <f>Table13678910111213[[#This Row],[Expenses Total Budget 2026]]-Table13678910111213[[#This Row],[Cumulative Expenses Actuals]]</f>
        <v>312046</v>
      </c>
      <c r="Y4" s="16">
        <f>(Table13678910111213[[#This Row],[Expenses To Be Achieved ]]/Table13678910111213[[#This Row],[Expenses Total Budget 2026]])*100</f>
        <v>84.191810315753685</v>
      </c>
      <c r="Z4" s="38">
        <v>12092</v>
      </c>
      <c r="AA4" s="38">
        <v>31895</v>
      </c>
      <c r="AB4" s="38">
        <f>Table13678910111213[[#This Row],[Monthly Contribution Actuals]]-Table13678910111213[[#This Row],[Monthly Contribution Budget]]</f>
        <v>19803</v>
      </c>
      <c r="AC4" s="39">
        <f>(Table13678910111213[[#This Row],[Monthly Contribution Variance]]/Table13678910111213[[#This Row],[Monthly Contribution Budget]])*100</f>
        <v>163.76943433675157</v>
      </c>
      <c r="AD4" s="38">
        <v>37692</v>
      </c>
      <c r="AE4" s="38">
        <v>60502</v>
      </c>
      <c r="AF4" s="38">
        <f>Table13678910111213[[#This Row],[Cumulative Contribution Actuals]]-Table13678910111213[[#This Row],[Cumulative Contribution Budget]]</f>
        <v>22810</v>
      </c>
      <c r="AG4" s="39">
        <f>(Table13678910111213[[#This Row],[Cumulative Contribution Variance]]/Table13678910111213[[#This Row],[Cumulative Contribution Budget]])*100</f>
        <v>60.516820545473834</v>
      </c>
      <c r="AH4" s="38">
        <v>215977</v>
      </c>
      <c r="AI4" s="38">
        <f>Table13678910111213[[#This Row],[Contribution Total Budget 2026]]-Table13678910111213[[#This Row],[Cumulative Contribution Actuals]]</f>
        <v>155475</v>
      </c>
      <c r="AJ4" s="40">
        <f>(Table13678910111213[[#This Row],[Contribution To Be Achieved ]]/Table13678910111213[[#This Row],[Contribution Total Budget 2026]])*100</f>
        <v>71.986831931177846</v>
      </c>
    </row>
    <row r="5" spans="1:36" x14ac:dyDescent="0.25">
      <c r="A5" s="10" t="s">
        <v>68</v>
      </c>
      <c r="B5" s="11">
        <v>2026</v>
      </c>
      <c r="C5" s="22" t="s">
        <v>6</v>
      </c>
      <c r="D5" s="13">
        <v>51260</v>
      </c>
      <c r="E5" s="13">
        <v>56992</v>
      </c>
      <c r="F5" s="13">
        <f>Table13678910111213[[#This Row],[Monthly Revenue Actuals]]-Table13678910111213[[#This Row],[Monthly Revenue Budget]]</f>
        <v>5732</v>
      </c>
      <c r="G5" s="14">
        <f>(Table13678910111213[[#This Row],[Monthly Revenue Variance]]/Table13678910111213[[#This Row],[Monthly Revenue Budget]])*100</f>
        <v>11.182208349590324</v>
      </c>
      <c r="H5" s="13">
        <v>164196</v>
      </c>
      <c r="I5" s="13">
        <v>176085</v>
      </c>
      <c r="J5" s="13">
        <f>Table13678910111213[[#This Row],[Cumulative Revenue Actuals]]-Table13678910111213[[#This Row],[Cumulative Revenue Budget]]</f>
        <v>11889</v>
      </c>
      <c r="K5" s="14">
        <f>(Table13678910111213[[#This Row],[Cumulative Revenue Variance]]/Table13678910111213[[#This Row],[Cumulative Revenue Budget]])*100</f>
        <v>7.2407366805525104</v>
      </c>
      <c r="L5" s="13">
        <v>586614</v>
      </c>
      <c r="M5" s="13">
        <f>Table13678910111213[[#This Row],[Revenue Total Budget 2026]]-Table13678910111213[[#This Row],[Cumulative Revenue Actuals]]</f>
        <v>410529</v>
      </c>
      <c r="N5" s="14">
        <f>(Table13678910111213[[#This Row],[Revenue To Be Achieved ]]/Table13678910111213[[#This Row],[Revenue Total Budget 2026]])*100</f>
        <v>69.982816639221028</v>
      </c>
      <c r="O5" s="15">
        <v>28692</v>
      </c>
      <c r="P5" s="15">
        <v>21955</v>
      </c>
      <c r="Q5" s="15">
        <f>Table13678910111213[[#This Row],[Monthly Expenses Budget]]-Table13678910111213[[#This Row],[Monthly Expenses Actuals]]</f>
        <v>6737</v>
      </c>
      <c r="R5" s="16">
        <f>(Table13678910111213[[#This Row],[Monthly Expenses Variance]]/Table13678910111213[[#This Row],[Monthly Expenses Budget]])*100</f>
        <v>23.480412658580789</v>
      </c>
      <c r="S5" s="15">
        <v>103936</v>
      </c>
      <c r="T5" s="15">
        <v>80546</v>
      </c>
      <c r="U5" s="15">
        <f>Table13678910111213[[#This Row],[Cumulative Expenses Budget]]-Table13678910111213[[#This Row],[Cumulative Expenses Actuals]]</f>
        <v>23390</v>
      </c>
      <c r="V5" s="16">
        <f>(Table13678910111213[[#This Row],[Cumulative Expenses Variance]]/Table13678910111213[[#This Row],[Cumulative Expenses Budget]])*100</f>
        <v>22.504233374384235</v>
      </c>
      <c r="W5" s="15">
        <v>370637</v>
      </c>
      <c r="X5" s="15">
        <f>Table13678910111213[[#This Row],[Expenses Total Budget 2026]]-Table13678910111213[[#This Row],[Cumulative Expenses Actuals]]</f>
        <v>290091</v>
      </c>
      <c r="Y5" s="16">
        <f>(Table13678910111213[[#This Row],[Expenses To Be Achieved ]]/Table13678910111213[[#This Row],[Expenses Total Budget 2026]])*100</f>
        <v>78.268224705034854</v>
      </c>
      <c r="Z5" s="38">
        <v>22568</v>
      </c>
      <c r="AA5" s="38">
        <v>35037</v>
      </c>
      <c r="AB5" s="38">
        <f>Table13678910111213[[#This Row],[Monthly Contribution Actuals]]-Table13678910111213[[#This Row],[Monthly Contribution Budget]]</f>
        <v>12469</v>
      </c>
      <c r="AC5" s="39">
        <f>(Table13678910111213[[#This Row],[Monthly Contribution Variance]]/Table13678910111213[[#This Row],[Monthly Contribution Budget]])*100</f>
        <v>55.250797589507272</v>
      </c>
      <c r="AD5" s="38">
        <v>60260</v>
      </c>
      <c r="AE5" s="38">
        <v>95539</v>
      </c>
      <c r="AF5" s="38">
        <f>Table13678910111213[[#This Row],[Cumulative Contribution Actuals]]-Table13678910111213[[#This Row],[Cumulative Contribution Budget]]</f>
        <v>35279</v>
      </c>
      <c r="AG5" s="39">
        <f>(Table13678910111213[[#This Row],[Cumulative Contribution Variance]]/Table13678910111213[[#This Row],[Cumulative Contribution Budget]])*100</f>
        <v>58.544639893793558</v>
      </c>
      <c r="AH5" s="38">
        <v>215977</v>
      </c>
      <c r="AI5" s="38">
        <f>Table13678910111213[[#This Row],[Contribution Total Budget 2026]]-Table13678910111213[[#This Row],[Cumulative Contribution Actuals]]</f>
        <v>120438</v>
      </c>
      <c r="AJ5" s="40">
        <f>(Table13678910111213[[#This Row],[Contribution To Be Achieved ]]/Table13678910111213[[#This Row],[Contribution Total Budget 2026]])*100</f>
        <v>55.764271195543969</v>
      </c>
    </row>
    <row r="6" spans="1:36" x14ac:dyDescent="0.25">
      <c r="A6" s="10" t="s">
        <v>68</v>
      </c>
      <c r="B6" s="11">
        <v>2026</v>
      </c>
      <c r="C6" s="11" t="s">
        <v>7</v>
      </c>
      <c r="D6" s="13">
        <v>50952</v>
      </c>
      <c r="E6" s="13">
        <v>47752</v>
      </c>
      <c r="F6" s="13">
        <f>Table13678910111213[[#This Row],[Monthly Revenue Actuals]]-Table13678910111213[[#This Row],[Monthly Revenue Budget]]</f>
        <v>-3200</v>
      </c>
      <c r="G6" s="14">
        <f>(Table13678910111213[[#This Row],[Monthly Revenue Variance]]/Table13678910111213[[#This Row],[Monthly Revenue Budget]])*100</f>
        <v>-6.2804207881928082</v>
      </c>
      <c r="H6" s="13">
        <v>215148</v>
      </c>
      <c r="I6" s="13">
        <v>223837</v>
      </c>
      <c r="J6" s="13">
        <f>Table13678910111213[[#This Row],[Cumulative Revenue Actuals]]-Table13678910111213[[#This Row],[Cumulative Revenue Budget]]</f>
        <v>8689</v>
      </c>
      <c r="K6" s="14">
        <f>(Table13678910111213[[#This Row],[Cumulative Revenue Variance]]/Table13678910111213[[#This Row],[Cumulative Revenue Budget]])*100</f>
        <v>4.0386152787848362</v>
      </c>
      <c r="L6" s="13">
        <v>586614</v>
      </c>
      <c r="M6" s="13">
        <f>Table13678910111213[[#This Row],[Revenue Total Budget 2026]]-Table13678910111213[[#This Row],[Cumulative Revenue Actuals]]</f>
        <v>362777</v>
      </c>
      <c r="N6" s="14">
        <f>(Table13678910111213[[#This Row],[Revenue To Be Achieved ]]/Table13678910111213[[#This Row],[Revenue Total Budget 2026]])*100</f>
        <v>61.842540409877699</v>
      </c>
      <c r="O6" s="15">
        <v>29417</v>
      </c>
      <c r="P6" s="15">
        <v>14619</v>
      </c>
      <c r="Q6" s="15">
        <f>Table13678910111213[[#This Row],[Monthly Expenses Budget]]-Table13678910111213[[#This Row],[Monthly Expenses Actuals]]</f>
        <v>14798</v>
      </c>
      <c r="R6" s="16">
        <f>(Table13678910111213[[#This Row],[Monthly Expenses Variance]]/Table13678910111213[[#This Row],[Monthly Expenses Budget]])*100</f>
        <v>50.304245844239723</v>
      </c>
      <c r="S6" s="15">
        <v>133353</v>
      </c>
      <c r="T6" s="15">
        <v>95165</v>
      </c>
      <c r="U6" s="15">
        <f>Table13678910111213[[#This Row],[Cumulative Expenses Budget]]-Table13678910111213[[#This Row],[Cumulative Expenses Actuals]]</f>
        <v>38188</v>
      </c>
      <c r="V6" s="16">
        <f>(Table13678910111213[[#This Row],[Cumulative Expenses Variance]]/Table13678910111213[[#This Row],[Cumulative Expenses Budget]])*100</f>
        <v>28.636776075528857</v>
      </c>
      <c r="W6" s="15">
        <v>370637</v>
      </c>
      <c r="X6" s="15">
        <f>Table13678910111213[[#This Row],[Expenses Total Budget 2026]]-Table13678910111213[[#This Row],[Cumulative Expenses Actuals]]</f>
        <v>275472</v>
      </c>
      <c r="Y6" s="16">
        <f>(Table13678910111213[[#This Row],[Expenses To Be Achieved ]]/Table13678910111213[[#This Row],[Expenses Total Budget 2026]])*100</f>
        <v>74.323934199769582</v>
      </c>
      <c r="Z6" s="38">
        <v>21535</v>
      </c>
      <c r="AA6" s="38">
        <v>33133</v>
      </c>
      <c r="AB6" s="38">
        <f>Table13678910111213[[#This Row],[Monthly Contribution Actuals]]-Table13678910111213[[#This Row],[Monthly Contribution Budget]]</f>
        <v>11598</v>
      </c>
      <c r="AC6" s="39">
        <f>(Table13678910111213[[#This Row],[Monthly Contribution Variance]]/Table13678910111213[[#This Row],[Monthly Contribution Budget]])*100</f>
        <v>53.856512653819365</v>
      </c>
      <c r="AD6" s="38">
        <v>81795</v>
      </c>
      <c r="AE6" s="38">
        <v>128672</v>
      </c>
      <c r="AF6" s="38">
        <f>Table13678910111213[[#This Row],[Cumulative Contribution Actuals]]-Table13678910111213[[#This Row],[Cumulative Contribution Budget]]</f>
        <v>46877</v>
      </c>
      <c r="AG6" s="39">
        <f>(Table13678910111213[[#This Row],[Cumulative Contribution Variance]]/Table13678910111213[[#This Row],[Cumulative Contribution Budget]])*100</f>
        <v>57.310349043340061</v>
      </c>
      <c r="AH6" s="38">
        <v>215977</v>
      </c>
      <c r="AI6" s="38">
        <f>Table13678910111213[[#This Row],[Contribution Total Budget 2026]]-Table13678910111213[[#This Row],[Cumulative Contribution Actuals]]</f>
        <v>87305</v>
      </c>
      <c r="AJ6" s="40">
        <f>(Table13678910111213[[#This Row],[Contribution To Be Achieved ]]/Table13678910111213[[#This Row],[Contribution Total Budget 2026]])*100</f>
        <v>40.423285812841179</v>
      </c>
    </row>
    <row r="7" spans="1:36" x14ac:dyDescent="0.25">
      <c r="A7" s="10" t="s">
        <v>68</v>
      </c>
      <c r="B7" s="11">
        <v>2026</v>
      </c>
      <c r="C7" s="22" t="s">
        <v>8</v>
      </c>
      <c r="D7" s="13">
        <v>47052</v>
      </c>
      <c r="E7" s="13">
        <v>48745</v>
      </c>
      <c r="F7" s="13">
        <f>Table13678910111213[[#This Row],[Monthly Revenue Actuals]]-Table13678910111213[[#This Row],[Monthly Revenue Budget]]</f>
        <v>1693</v>
      </c>
      <c r="G7" s="14">
        <f>(Table13678910111213[[#This Row],[Monthly Revenue Variance]]/Table13678910111213[[#This Row],[Monthly Revenue Budget]])*100</f>
        <v>3.5981467312760347</v>
      </c>
      <c r="H7" s="13">
        <v>262200</v>
      </c>
      <c r="I7" s="13">
        <v>272582</v>
      </c>
      <c r="J7" s="13">
        <f>Table13678910111213[[#This Row],[Cumulative Revenue Actuals]]-Table13678910111213[[#This Row],[Cumulative Revenue Budget]]</f>
        <v>10382</v>
      </c>
      <c r="K7" s="14">
        <f>(Table13678910111213[[#This Row],[Cumulative Revenue Variance]]/Table13678910111213[[#This Row],[Cumulative Revenue Budget]])*100</f>
        <v>3.9595728451563694</v>
      </c>
      <c r="L7" s="13">
        <v>586614</v>
      </c>
      <c r="M7" s="13">
        <f>Table13678910111213[[#This Row],[Revenue Total Budget 2026]]-Table13678910111213[[#This Row],[Cumulative Revenue Actuals]]</f>
        <v>314032</v>
      </c>
      <c r="N7" s="14">
        <f>(Table13678910111213[[#This Row],[Revenue To Be Achieved ]]/Table13678910111213[[#This Row],[Revenue Total Budget 2026]])*100</f>
        <v>53.532987620479567</v>
      </c>
      <c r="O7" s="15">
        <v>27711</v>
      </c>
      <c r="P7" s="15">
        <v>26300</v>
      </c>
      <c r="Q7" s="15">
        <f>Table13678910111213[[#This Row],[Monthly Expenses Budget]]-Table13678910111213[[#This Row],[Monthly Expenses Actuals]]</f>
        <v>1411</v>
      </c>
      <c r="R7" s="16">
        <f>(Table13678910111213[[#This Row],[Monthly Expenses Variance]]/Table13678910111213[[#This Row],[Monthly Expenses Budget]])*100</f>
        <v>5.0918407852477356</v>
      </c>
      <c r="S7" s="15">
        <v>161064</v>
      </c>
      <c r="T7" s="15">
        <v>121464</v>
      </c>
      <c r="U7" s="15">
        <f>Table13678910111213[[#This Row],[Cumulative Expenses Budget]]-Table13678910111213[[#This Row],[Cumulative Expenses Actuals]]</f>
        <v>39600</v>
      </c>
      <c r="V7" s="16">
        <f>(Table13678910111213[[#This Row],[Cumulative Expenses Variance]]/Table13678910111213[[#This Row],[Cumulative Expenses Budget]])*100</f>
        <v>24.586499776486363</v>
      </c>
      <c r="W7" s="15">
        <v>370637</v>
      </c>
      <c r="X7" s="15">
        <f>Table13678910111213[[#This Row],[Expenses Total Budget 2026]]-Table13678910111213[[#This Row],[Cumulative Expenses Actuals]]</f>
        <v>249173</v>
      </c>
      <c r="Y7" s="16">
        <f>(Table13678910111213[[#This Row],[Expenses To Be Achieved ]]/Table13678910111213[[#This Row],[Expenses Total Budget 2026]])*100</f>
        <v>67.228312337947912</v>
      </c>
      <c r="Z7" s="38">
        <v>19341</v>
      </c>
      <c r="AA7" s="38">
        <v>22445</v>
      </c>
      <c r="AB7" s="38">
        <f>Table13678910111213[[#This Row],[Monthly Contribution Actuals]]-Table13678910111213[[#This Row],[Monthly Contribution Budget]]</f>
        <v>3104</v>
      </c>
      <c r="AC7" s="39">
        <f>(Table13678910111213[[#This Row],[Monthly Contribution Variance]]/Table13678910111213[[#This Row],[Monthly Contribution Budget]])*100</f>
        <v>16.048808231218654</v>
      </c>
      <c r="AD7" s="38">
        <v>101136</v>
      </c>
      <c r="AE7" s="38">
        <v>151117</v>
      </c>
      <c r="AF7" s="38">
        <f>Table13678910111213[[#This Row],[Cumulative Contribution Actuals]]-Table13678910111213[[#This Row],[Cumulative Contribution Budget]]</f>
        <v>49981</v>
      </c>
      <c r="AG7" s="39">
        <f>(Table13678910111213[[#This Row],[Cumulative Contribution Variance]]/Table13678910111213[[#This Row],[Cumulative Contribution Budget]])*100</f>
        <v>49.419593418762851</v>
      </c>
      <c r="AH7" s="38">
        <v>215977</v>
      </c>
      <c r="AI7" s="38">
        <f>Table13678910111213[[#This Row],[Contribution Total Budget 2026]]-Table13678910111213[[#This Row],[Cumulative Contribution Actuals]]</f>
        <v>64860</v>
      </c>
      <c r="AJ7" s="40">
        <f>(Table13678910111213[[#This Row],[Contribution To Be Achieved ]]/Table13678910111213[[#This Row],[Contribution Total Budget 2026]])*100</f>
        <v>30.030975520541542</v>
      </c>
    </row>
    <row r="8" spans="1:36" x14ac:dyDescent="0.25">
      <c r="A8" s="10" t="s">
        <v>68</v>
      </c>
      <c r="B8" s="11">
        <v>2026</v>
      </c>
      <c r="C8" s="11" t="s">
        <v>9</v>
      </c>
      <c r="D8" s="13">
        <f>Table13678910111213[[#This Row],[Cumulative Revenue Budget]]-H7</f>
        <v>53362</v>
      </c>
      <c r="E8" s="13">
        <f>Table13678910111213[[#This Row],[Cumulative Revenue Actuals]]-I7</f>
        <v>47410</v>
      </c>
      <c r="F8" s="13">
        <f>Table13678910111213[[#This Row],[Monthly Revenue Actuals]]-Table13678910111213[[#This Row],[Monthly Revenue Budget]]</f>
        <v>-5952</v>
      </c>
      <c r="G8" s="14">
        <f>(Table13678910111213[[#This Row],[Monthly Revenue Variance]]/Table13678910111213[[#This Row],[Monthly Revenue Budget]])*100</f>
        <v>-11.154004722461677</v>
      </c>
      <c r="H8" s="13">
        <v>315562</v>
      </c>
      <c r="I8" s="13">
        <v>319992</v>
      </c>
      <c r="J8" s="13">
        <f>Table13678910111213[[#This Row],[Cumulative Revenue Actuals]]-Table13678910111213[[#This Row],[Cumulative Revenue Budget]]</f>
        <v>4430</v>
      </c>
      <c r="K8" s="14">
        <f>(Table13678910111213[[#This Row],[Cumulative Revenue Variance]]/Table13678910111213[[#This Row],[Cumulative Revenue Budget]])*100</f>
        <v>1.4038445693714705</v>
      </c>
      <c r="L8" s="13">
        <v>586614</v>
      </c>
      <c r="M8" s="13">
        <f>Table13678910111213[[#This Row],[Revenue Total Budget 2026]]-Table13678910111213[[#This Row],[Cumulative Revenue Actuals]]</f>
        <v>266622</v>
      </c>
      <c r="N8" s="14">
        <f>(Table13678910111213[[#This Row],[Revenue To Be Achieved ]]/Table13678910111213[[#This Row],[Revenue Total Budget 2026]])*100</f>
        <v>45.451012079493502</v>
      </c>
      <c r="O8" s="15">
        <f>Table13678910111213[[#This Row],[Cumulative Expenses Budget]]-S7</f>
        <v>34780</v>
      </c>
      <c r="P8" s="15">
        <f>Table13678910111213[[#This Row],[Cumulative Expenses Actuals]]-T7</f>
        <v>28952</v>
      </c>
      <c r="Q8" s="15">
        <f>Table13678910111213[[#This Row],[Monthly Expenses Budget]]-Table13678910111213[[#This Row],[Monthly Expenses Actuals]]</f>
        <v>5828</v>
      </c>
      <c r="R8" s="16">
        <f>(Table13678910111213[[#This Row],[Monthly Expenses Variance]]/Table13678910111213[[#This Row],[Monthly Expenses Budget]])*100</f>
        <v>16.756756756756758</v>
      </c>
      <c r="S8" s="15">
        <v>195844</v>
      </c>
      <c r="T8" s="15">
        <v>150416</v>
      </c>
      <c r="U8" s="15">
        <f>Table13678910111213[[#This Row],[Cumulative Expenses Budget]]-Table13678910111213[[#This Row],[Cumulative Expenses Actuals]]</f>
        <v>45428</v>
      </c>
      <c r="V8" s="16">
        <f>(Table13678910111213[[#This Row],[Cumulative Expenses Variance]]/Table13678910111213[[#This Row],[Cumulative Expenses Budget]])*100</f>
        <v>23.196013153326117</v>
      </c>
      <c r="W8" s="15">
        <v>370637</v>
      </c>
      <c r="X8" s="15">
        <f>Table13678910111213[[#This Row],[Expenses Total Budget 2026]]-Table13678910111213[[#This Row],[Cumulative Expenses Actuals]]</f>
        <v>220221</v>
      </c>
      <c r="Y8" s="16">
        <f>(Table13678910111213[[#This Row],[Expenses To Be Achieved ]]/Table13678910111213[[#This Row],[Expenses Total Budget 2026]])*100</f>
        <v>59.416895776730328</v>
      </c>
      <c r="Z8" s="38">
        <f>Table13678910111213[[#This Row],[Cumulative Contribution Budget]]-AD7</f>
        <v>18582</v>
      </c>
      <c r="AA8" s="38">
        <f>Table13678910111213[[#This Row],[Cumulative Contribution Actuals]]-AE7</f>
        <v>18459</v>
      </c>
      <c r="AB8" s="38">
        <f>Table13678910111213[[#This Row],[Monthly Contribution Actuals]]-Table13678910111213[[#This Row],[Monthly Contribution Budget]]</f>
        <v>-123</v>
      </c>
      <c r="AC8" s="39">
        <f>(Table13678910111213[[#This Row],[Monthly Contribution Variance]]/Table13678910111213[[#This Row],[Monthly Contribution Budget]])*100</f>
        <v>-0.66193090087181139</v>
      </c>
      <c r="AD8" s="38">
        <v>119718</v>
      </c>
      <c r="AE8" s="38">
        <v>169576</v>
      </c>
      <c r="AF8" s="38">
        <f>Table13678910111213[[#This Row],[Cumulative Contribution Actuals]]-Table13678910111213[[#This Row],[Cumulative Contribution Budget]]</f>
        <v>49858</v>
      </c>
      <c r="AG8" s="39">
        <f>(Table13678910111213[[#This Row],[Cumulative Contribution Variance]]/Table13678910111213[[#This Row],[Cumulative Contribution Budget]])*100</f>
        <v>41.646201907816703</v>
      </c>
      <c r="AH8" s="38">
        <v>215977</v>
      </c>
      <c r="AI8" s="38">
        <f>Table13678910111213[[#This Row],[Contribution Total Budget 2026]]-Table13678910111213[[#This Row],[Cumulative Contribution Actuals]]</f>
        <v>46401</v>
      </c>
      <c r="AJ8" s="40">
        <f>(Table13678910111213[[#This Row],[Contribution To Be Achieved ]]/Table13678910111213[[#This Row],[Contribution Total Budget 2026]])*100</f>
        <v>21.484232117308789</v>
      </c>
    </row>
    <row r="9" spans="1:36" x14ac:dyDescent="0.25">
      <c r="A9" s="10" t="s">
        <v>68</v>
      </c>
      <c r="B9" s="11">
        <v>2026</v>
      </c>
      <c r="C9" s="22" t="s">
        <v>10</v>
      </c>
      <c r="D9" s="13">
        <f>Table13678910111213[[#This Row],[Cumulative Revenue Budget]]-H8</f>
        <v>54739</v>
      </c>
      <c r="E9" s="13">
        <f>Table13678910111213[[#This Row],[Cumulative Revenue Actuals]]-I8</f>
        <v>55067</v>
      </c>
      <c r="F9" s="13">
        <f>Table13678910111213[[#This Row],[Monthly Revenue Actuals]]-Table13678910111213[[#This Row],[Monthly Revenue Budget]]</f>
        <v>328</v>
      </c>
      <c r="G9" s="14">
        <f>(Table13678910111213[[#This Row],[Monthly Revenue Variance]]/Table13678910111213[[#This Row],[Monthly Revenue Budget]])*100</f>
        <v>0.59920714664133434</v>
      </c>
      <c r="H9" s="13">
        <v>370301</v>
      </c>
      <c r="I9" s="13">
        <v>375059</v>
      </c>
      <c r="J9" s="13">
        <f>Table13678910111213[[#This Row],[Cumulative Revenue Actuals]]-Table13678910111213[[#This Row],[Cumulative Revenue Budget]]</f>
        <v>4758</v>
      </c>
      <c r="K9" s="14">
        <f>(Table13678910111213[[#This Row],[Cumulative Revenue Variance]]/Table13678910111213[[#This Row],[Cumulative Revenue Budget]])*100</f>
        <v>1.2849006618939727</v>
      </c>
      <c r="L9" s="13">
        <v>586614</v>
      </c>
      <c r="M9" s="13">
        <f>Table13678910111213[[#This Row],[Revenue Total Budget 2026]]-Table13678910111213[[#This Row],[Cumulative Revenue Actuals]]</f>
        <v>211555</v>
      </c>
      <c r="N9" s="14">
        <f>(Table13678910111213[[#This Row],[Revenue To Be Achieved ]]/Table13678910111213[[#This Row],[Revenue Total Budget 2026]])*100</f>
        <v>36.06374890473122</v>
      </c>
      <c r="O9" s="15">
        <f>Table13678910111213[[#This Row],[Cumulative Expenses Budget]]-S8</f>
        <v>31030</v>
      </c>
      <c r="P9" s="15">
        <f>Table13678910111213[[#This Row],[Cumulative Expenses Actuals]]-T8</f>
        <v>26406</v>
      </c>
      <c r="Q9" s="15">
        <f>Table13678910111213[[#This Row],[Monthly Expenses Budget]]-Table13678910111213[[#This Row],[Monthly Expenses Actuals]]</f>
        <v>4624</v>
      </c>
      <c r="R9" s="16">
        <f>(Table13678910111213[[#This Row],[Monthly Expenses Variance]]/Table13678910111213[[#This Row],[Monthly Expenses Budget]])*100</f>
        <v>14.901708024492427</v>
      </c>
      <c r="S9" s="15">
        <v>226874</v>
      </c>
      <c r="T9" s="15">
        <v>176822</v>
      </c>
      <c r="U9" s="15">
        <f>Table13678910111213[[#This Row],[Cumulative Expenses Budget]]-Table13678910111213[[#This Row],[Cumulative Expenses Actuals]]</f>
        <v>50052</v>
      </c>
      <c r="V9" s="16">
        <f>(Table13678910111213[[#This Row],[Cumulative Expenses Variance]]/Table13678910111213[[#This Row],[Cumulative Expenses Budget]])*100</f>
        <v>22.061584844451104</v>
      </c>
      <c r="W9" s="15">
        <v>370637</v>
      </c>
      <c r="X9" s="15">
        <f>Table13678910111213[[#This Row],[Expenses Total Budget 2026]]-Table13678910111213[[#This Row],[Cumulative Expenses Actuals]]</f>
        <v>193815</v>
      </c>
      <c r="Y9" s="16">
        <f>(Table13678910111213[[#This Row],[Expenses To Be Achieved ]]/Table13678910111213[[#This Row],[Expenses Total Budget 2026]])*100</f>
        <v>52.292404697858011</v>
      </c>
      <c r="Z9" s="38">
        <f>Table13678910111213[[#This Row],[Cumulative Contribution Budget]]-AD8</f>
        <v>23709</v>
      </c>
      <c r="AA9" s="38">
        <f>Table13678910111213[[#This Row],[Cumulative Contribution Actuals]]-AE8</f>
        <v>28662</v>
      </c>
      <c r="AB9" s="38">
        <f>Table13678910111213[[#This Row],[Monthly Contribution Actuals]]-Table13678910111213[[#This Row],[Monthly Contribution Budget]]</f>
        <v>4953</v>
      </c>
      <c r="AC9" s="39">
        <f>(Table13678910111213[[#This Row],[Monthly Contribution Variance]]/Table13678910111213[[#This Row],[Monthly Contribution Budget]])*100</f>
        <v>20.89080096166013</v>
      </c>
      <c r="AD9" s="38">
        <v>143427</v>
      </c>
      <c r="AE9" s="38">
        <v>198238</v>
      </c>
      <c r="AF9" s="38">
        <f>Table13678910111213[[#This Row],[Cumulative Contribution Actuals]]-Table13678910111213[[#This Row],[Cumulative Contribution Budget]]</f>
        <v>54811</v>
      </c>
      <c r="AG9" s="39">
        <f>(Table13678910111213[[#This Row],[Cumulative Contribution Variance]]/Table13678910111213[[#This Row],[Cumulative Contribution Budget]])*100</f>
        <v>38.215259330530515</v>
      </c>
      <c r="AH9" s="38">
        <v>215977</v>
      </c>
      <c r="AI9" s="38">
        <f>Table13678910111213[[#This Row],[Contribution Total Budget 2026]]-Table13678910111213[[#This Row],[Cumulative Contribution Actuals]]</f>
        <v>17739</v>
      </c>
      <c r="AJ9" s="40">
        <f>(Table13678910111213[[#This Row],[Contribution To Be Achieved ]]/Table13678910111213[[#This Row],[Contribution Total Budget 2026]])*100</f>
        <v>8.2133745722924196</v>
      </c>
    </row>
    <row r="10" spans="1:36" x14ac:dyDescent="0.25">
      <c r="A10" s="10" t="s">
        <v>68</v>
      </c>
      <c r="B10" s="11">
        <v>2026</v>
      </c>
      <c r="C10" s="11" t="s">
        <v>11</v>
      </c>
      <c r="D10" s="13"/>
      <c r="E10" s="13"/>
      <c r="F10" s="13"/>
      <c r="G10" s="14"/>
      <c r="H10" s="13"/>
      <c r="I10" s="13"/>
      <c r="J10" s="13"/>
      <c r="K10" s="14"/>
      <c r="L10" s="13"/>
      <c r="M10" s="13"/>
      <c r="N10" s="14"/>
      <c r="O10" s="15"/>
      <c r="P10" s="15"/>
      <c r="Q10" s="15"/>
      <c r="R10" s="16"/>
      <c r="S10" s="15"/>
      <c r="T10" s="15"/>
      <c r="U10" s="15"/>
      <c r="V10" s="16"/>
      <c r="W10" s="15"/>
      <c r="X10" s="15"/>
      <c r="Y10" s="16"/>
      <c r="Z10" s="38"/>
      <c r="AA10" s="38"/>
      <c r="AB10" s="38"/>
      <c r="AC10" s="39"/>
      <c r="AD10" s="38"/>
      <c r="AE10" s="38"/>
      <c r="AF10" s="38"/>
      <c r="AG10" s="39"/>
      <c r="AH10" s="38"/>
      <c r="AI10" s="38"/>
      <c r="AJ10" s="40"/>
    </row>
    <row r="11" spans="1:36" x14ac:dyDescent="0.25">
      <c r="A11" s="10" t="s">
        <v>68</v>
      </c>
      <c r="B11" s="11">
        <v>2026</v>
      </c>
      <c r="C11" s="22" t="s">
        <v>12</v>
      </c>
      <c r="D11" s="13"/>
      <c r="E11" s="13"/>
      <c r="F11" s="13"/>
      <c r="G11" s="14"/>
      <c r="H11" s="13"/>
      <c r="I11" s="13"/>
      <c r="J11" s="13"/>
      <c r="K11" s="14"/>
      <c r="L11" s="13"/>
      <c r="M11" s="13"/>
      <c r="N11" s="14"/>
      <c r="O11" s="15"/>
      <c r="P11" s="15"/>
      <c r="Q11" s="15"/>
      <c r="R11" s="16"/>
      <c r="S11" s="15"/>
      <c r="T11" s="15"/>
      <c r="U11" s="15"/>
      <c r="V11" s="16"/>
      <c r="W11" s="15"/>
      <c r="X11" s="15"/>
      <c r="Y11" s="16"/>
      <c r="Z11" s="38"/>
      <c r="AA11" s="38"/>
      <c r="AB11" s="38"/>
      <c r="AC11" s="39"/>
      <c r="AD11" s="38"/>
      <c r="AE11" s="38"/>
      <c r="AF11" s="38"/>
      <c r="AG11" s="39"/>
      <c r="AH11" s="38"/>
      <c r="AI11" s="38"/>
      <c r="AJ11" s="40"/>
    </row>
    <row r="12" spans="1:36" x14ac:dyDescent="0.25">
      <c r="A12" s="10" t="s">
        <v>68</v>
      </c>
      <c r="B12" s="11">
        <v>2026</v>
      </c>
      <c r="C12" s="11" t="s">
        <v>13</v>
      </c>
      <c r="D12" s="41"/>
      <c r="E12" s="41"/>
      <c r="F12" s="41"/>
      <c r="G12" s="47"/>
      <c r="H12" s="41"/>
      <c r="I12" s="41"/>
      <c r="J12" s="41"/>
      <c r="K12" s="47"/>
      <c r="L12" s="41"/>
      <c r="M12" s="41"/>
      <c r="N12" s="47"/>
      <c r="O12" s="15"/>
      <c r="P12" s="15"/>
      <c r="Q12" s="15"/>
      <c r="R12" s="16"/>
      <c r="S12" s="15"/>
      <c r="T12" s="15"/>
      <c r="U12" s="15"/>
      <c r="V12" s="16"/>
      <c r="W12" s="15"/>
      <c r="X12" s="15"/>
      <c r="Y12" s="16"/>
      <c r="Z12" s="38"/>
      <c r="AA12" s="38"/>
      <c r="AB12" s="38"/>
      <c r="AC12" s="39"/>
      <c r="AD12" s="38"/>
      <c r="AE12" s="38"/>
      <c r="AF12" s="38"/>
      <c r="AG12" s="39"/>
      <c r="AH12" s="38"/>
      <c r="AI12" s="38"/>
      <c r="AJ12" s="40"/>
    </row>
    <row r="13" spans="1:36" x14ac:dyDescent="0.25">
      <c r="A13" s="23" t="s">
        <v>68</v>
      </c>
      <c r="B13" s="42">
        <v>2026</v>
      </c>
      <c r="C13" s="24" t="s">
        <v>14</v>
      </c>
      <c r="D13" s="25"/>
      <c r="E13" s="25"/>
      <c r="F13" s="25"/>
      <c r="G13" s="26"/>
      <c r="H13" s="25"/>
      <c r="I13" s="25"/>
      <c r="J13" s="25"/>
      <c r="K13" s="26"/>
      <c r="L13" s="25"/>
      <c r="M13" s="25"/>
      <c r="N13" s="26"/>
      <c r="O13" s="27"/>
      <c r="P13" s="27"/>
      <c r="Q13" s="27"/>
      <c r="R13" s="28"/>
      <c r="S13" s="27"/>
      <c r="T13" s="27"/>
      <c r="U13" s="27"/>
      <c r="V13" s="28"/>
      <c r="W13" s="27"/>
      <c r="X13" s="27"/>
      <c r="Y13" s="28"/>
      <c r="Z13" s="43"/>
      <c r="AA13" s="43"/>
      <c r="AB13" s="43"/>
      <c r="AC13" s="44"/>
      <c r="AD13" s="43"/>
      <c r="AE13" s="43"/>
      <c r="AF13" s="43"/>
      <c r="AG13" s="44"/>
      <c r="AH13" s="43"/>
      <c r="AI13" s="43"/>
      <c r="AJ13" s="4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F26_Total Operations</vt:lpstr>
      <vt:lpstr>F26_Student Enrollment</vt:lpstr>
      <vt:lpstr>F26_Education</vt:lpstr>
      <vt:lpstr>F26_Training</vt:lpstr>
      <vt:lpstr>F26_Examinations</vt:lpstr>
      <vt:lpstr>F26_Member Relations</vt:lpstr>
      <vt:lpstr>F26_Technical</vt:lpstr>
      <vt:lpstr>F26_Business School</vt:lpstr>
      <vt:lpstr>F26_Tax School</vt:lpstr>
      <vt:lpstr>F26_Tax Faculty</vt:lpstr>
      <vt:lpstr>F26_SAB Campus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Nahshon De Alwis</dc:creator>
  <cp:lastModifiedBy>Nahshon De Alwis</cp:lastModifiedBy>
  <dcterms:created xsi:type="dcterms:W3CDTF">2025-07-22T07:28:04Z</dcterms:created>
  <dcterms:modified xsi:type="dcterms:W3CDTF">2026-09-14T15:05:54Z</dcterms:modified>
</cp:coreProperties>
</file>